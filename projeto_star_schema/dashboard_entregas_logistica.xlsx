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593ebbecc9ec8ef/Área de Trabalho/pdi_engenharia_dados/projeto_star_schema/"/>
    </mc:Choice>
  </mc:AlternateContent>
  <xr:revisionPtr revIDLastSave="0" documentId="8_{AC86FADC-7C61-4034-A4BA-F03AFA6058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Dados" sheetId="2" r:id="rId2"/>
    <sheet name="Analises" sheetId="3" r:id="rId3"/>
    <sheet name="PowerBI" sheetId="4" r:id="rId4"/>
  </sheets>
  <calcPr calcId="191029"/>
</workbook>
</file>

<file path=xl/calcChain.xml><?xml version="1.0" encoding="utf-8"?>
<calcChain xmlns="http://schemas.openxmlformats.org/spreadsheetml/2006/main">
  <c r="H9" i="1" l="1"/>
  <c r="E9" i="1"/>
  <c r="B9" i="1"/>
  <c r="H6" i="1"/>
  <c r="E6" i="1"/>
  <c r="B6" i="1"/>
</calcChain>
</file>

<file path=xl/sharedStrings.xml><?xml version="1.0" encoding="utf-8"?>
<sst xmlns="http://schemas.openxmlformats.org/spreadsheetml/2006/main" count="875" uniqueCount="259">
  <si>
    <t>Dashboard de Entregas e Logística</t>
  </si>
  <si>
    <t>Filtros para KPIs:</t>
  </si>
  <si>
    <t>Ano</t>
  </si>
  <si>
    <t>Categoria</t>
  </si>
  <si>
    <t>Status</t>
  </si>
  <si>
    <t>Todos</t>
  </si>
  <si>
    <t>2020</t>
  </si>
  <si>
    <t>Alimentos</t>
  </si>
  <si>
    <t>Entregue</t>
  </si>
  <si>
    <t>2021</t>
  </si>
  <si>
    <t>Brinquedos</t>
  </si>
  <si>
    <t>Total de Entregas</t>
  </si>
  <si>
    <t>Frete Total</t>
  </si>
  <si>
    <t>Custo Total</t>
  </si>
  <si>
    <t>2022</t>
  </si>
  <si>
    <t>Eletrônicos</t>
  </si>
  <si>
    <t>2023</t>
  </si>
  <si>
    <t>Roupas</t>
  </si>
  <si>
    <t>2024</t>
  </si>
  <si>
    <t>Lucro</t>
  </si>
  <si>
    <t>Tempo Médio</t>
  </si>
  <si>
    <t>Distância Média</t>
  </si>
  <si>
    <t>Principais respostas do dashboard</t>
  </si>
  <si>
    <t>Pergunta</t>
  </si>
  <si>
    <t>Resposta</t>
  </si>
  <si>
    <t>Cidade</t>
  </si>
  <si>
    <t>Entregas</t>
  </si>
  <si>
    <t>Quais cidades concentram mais entregas?</t>
  </si>
  <si>
    <t>Azevedo lidera com 4 entregas; em seguida aparecem Melo e Camargo das Pedras.</t>
  </si>
  <si>
    <t>Azevedo</t>
  </si>
  <si>
    <t>Qual ano teve mais entregas?</t>
  </si>
  <si>
    <t>2021 foi o ano com mais entregas (26).</t>
  </si>
  <si>
    <t>Melo</t>
  </si>
  <si>
    <t>Quais categorias mais aparecem?</t>
  </si>
  <si>
    <t>Alimentos é a categoria mais frequente, com 28 entregas.</t>
  </si>
  <si>
    <t>Camargo das Pedras</t>
  </si>
  <si>
    <t>Onde está maior lucro por cidade?</t>
  </si>
  <si>
    <t>Azevedo gerou o maior lucro estimado: R$ 80.00.</t>
  </si>
  <si>
    <t>Almeida</t>
  </si>
  <si>
    <t>Guerra</t>
  </si>
  <si>
    <t>Gonçalves do Sul</t>
  </si>
  <si>
    <t>Fogaça dos Dourados</t>
  </si>
  <si>
    <t>da Luz</t>
  </si>
  <si>
    <t>Almeida Verde</t>
  </si>
  <si>
    <t>Correia do Oeste</t>
  </si>
  <si>
    <t>id_entrega</t>
  </si>
  <si>
    <t>tempo_entrega</t>
  </si>
  <si>
    <t>status_entrega</t>
  </si>
  <si>
    <t>valor_frete</t>
  </si>
  <si>
    <t>custo_entrega</t>
  </si>
  <si>
    <t>distancia_km</t>
  </si>
  <si>
    <t>id_cliente</t>
  </si>
  <si>
    <t>id_produto</t>
  </si>
  <si>
    <t>id_motorista</t>
  </si>
  <si>
    <t>id_tempo</t>
  </si>
  <si>
    <t>id_regiao</t>
  </si>
  <si>
    <t>id_regiao-2</t>
  </si>
  <si>
    <t>cidade</t>
  </si>
  <si>
    <t>estado</t>
  </si>
  <si>
    <t>pais</t>
  </si>
  <si>
    <t>id_produto-2</t>
  </si>
  <si>
    <t>categoria</t>
  </si>
  <si>
    <t>peso</t>
  </si>
  <si>
    <t>tipo</t>
  </si>
  <si>
    <t>id_tempo-2</t>
  </si>
  <si>
    <t>dia</t>
  </si>
  <si>
    <t>mes</t>
  </si>
  <si>
    <t>trimestre</t>
  </si>
  <si>
    <t>ano</t>
  </si>
  <si>
    <t>id_motorista-2</t>
  </si>
  <si>
    <t>nome</t>
  </si>
  <si>
    <t>idade</t>
  </si>
  <si>
    <t>experiencia</t>
  </si>
  <si>
    <t>lucro</t>
  </si>
  <si>
    <t>Bahia</t>
  </si>
  <si>
    <t>Catar</t>
  </si>
  <si>
    <t>Não Perecível</t>
  </si>
  <si>
    <t>Cecilia Montenegro</t>
  </si>
  <si>
    <t>Alagoas</t>
  </si>
  <si>
    <t>Israel</t>
  </si>
  <si>
    <t>Perecível</t>
  </si>
  <si>
    <t>Lorenzo Vargas</t>
  </si>
  <si>
    <t>Amapá</t>
  </si>
  <si>
    <t>México</t>
  </si>
  <si>
    <t>Sr. Enzo Gabriel Teixeira</t>
  </si>
  <si>
    <t>Paraíba</t>
  </si>
  <si>
    <t>Roménia</t>
  </si>
  <si>
    <t>Vitor Gabriel Garcia</t>
  </si>
  <si>
    <t>Rio Grande do Norte</t>
  </si>
  <si>
    <t>Guernsey</t>
  </si>
  <si>
    <t>Eloah da Cruz</t>
  </si>
  <si>
    <t>São Paulo</t>
  </si>
  <si>
    <t>Jersey</t>
  </si>
  <si>
    <t>Davi Lucas Siqueira</t>
  </si>
  <si>
    <t>Distrito Federal</t>
  </si>
  <si>
    <t>Aruba</t>
  </si>
  <si>
    <t>Sra. Sabrina Cavalcanti</t>
  </si>
  <si>
    <t>Caldeira do Campo</t>
  </si>
  <si>
    <t>Piauí</t>
  </si>
  <si>
    <t>Senegal</t>
  </si>
  <si>
    <t>Daniela Azevedo</t>
  </si>
  <si>
    <t>Cunha da Serra</t>
  </si>
  <si>
    <t>Pernambuco</t>
  </si>
  <si>
    <t>Ilhas Virgens Britânicas</t>
  </si>
  <si>
    <t>Daniela Câmara</t>
  </si>
  <si>
    <t>Cardoso</t>
  </si>
  <si>
    <t>Roraima</t>
  </si>
  <si>
    <t>Brasil</t>
  </si>
  <si>
    <t>Isabel Marques</t>
  </si>
  <si>
    <t>Mendes do Amparo</t>
  </si>
  <si>
    <t>Guam</t>
  </si>
  <si>
    <t>Ravy Mendes</t>
  </si>
  <si>
    <t>Leão Verde</t>
  </si>
  <si>
    <t>Goiás</t>
  </si>
  <si>
    <t>Zâmbia</t>
  </si>
  <si>
    <t>Bryan Andrade</t>
  </si>
  <si>
    <t>Lopes de Silva</t>
  </si>
  <si>
    <t>Rondônia</t>
  </si>
  <si>
    <t>Porto Rico</t>
  </si>
  <si>
    <t>Hadassa Pinto</t>
  </si>
  <si>
    <t>Gomes da Mata</t>
  </si>
  <si>
    <t>Mato Grosso do Sul</t>
  </si>
  <si>
    <t>Omã</t>
  </si>
  <si>
    <t>José Montenegro</t>
  </si>
  <si>
    <t>da Mota</t>
  </si>
  <si>
    <t>Ceará</t>
  </si>
  <si>
    <t>Gâmbia</t>
  </si>
  <si>
    <t>Liam da Luz</t>
  </si>
  <si>
    <t>Amazonas</t>
  </si>
  <si>
    <t>Ana Carolina Vieira</t>
  </si>
  <si>
    <t>da Mata</t>
  </si>
  <si>
    <t>Paraguai</t>
  </si>
  <si>
    <t>Danilo Mendonça</t>
  </si>
  <si>
    <t>da Conceição da Serra</t>
  </si>
  <si>
    <t>Macau</t>
  </si>
  <si>
    <t>Miguel Pastor</t>
  </si>
  <si>
    <t>Albuquerque</t>
  </si>
  <si>
    <t>Samoa</t>
  </si>
  <si>
    <t>Dr. Vitor Viana</t>
  </si>
  <si>
    <t>Viana</t>
  </si>
  <si>
    <t>Andorra</t>
  </si>
  <si>
    <t>Davi Pinto</t>
  </si>
  <si>
    <t>Sri Lanka</t>
  </si>
  <si>
    <t>Beatriz Moraes</t>
  </si>
  <si>
    <t>Freitas da Prata</t>
  </si>
  <si>
    <t>Sergipe</t>
  </si>
  <si>
    <t>Ilhas Marshall</t>
  </si>
  <si>
    <t>Bárbara da Mata</t>
  </si>
  <si>
    <t>Freitas</t>
  </si>
  <si>
    <t>Palau</t>
  </si>
  <si>
    <t>Carolina Albuquerque</t>
  </si>
  <si>
    <t>Nascimento da Praia</t>
  </si>
  <si>
    <t>São Marinho</t>
  </si>
  <si>
    <t>Ana Vitória Garcia</t>
  </si>
  <si>
    <t>Cavalcante Alegre</t>
  </si>
  <si>
    <t>Minas Gerais</t>
  </si>
  <si>
    <t>Albânia</t>
  </si>
  <si>
    <t>Ryan Castro</t>
  </si>
  <si>
    <t>Farias dos Dourados</t>
  </si>
  <si>
    <t>Ilha do Natal</t>
  </si>
  <si>
    <t>Sr. Benjamim Costela</t>
  </si>
  <si>
    <t>Cassiano</t>
  </si>
  <si>
    <t>Cuba</t>
  </si>
  <si>
    <t>Antônio Almeida</t>
  </si>
  <si>
    <t>Cunha Grande</t>
  </si>
  <si>
    <t>África do Sul</t>
  </si>
  <si>
    <t>Bryan Mendes</t>
  </si>
  <si>
    <t>Emirados Árabes Unidos</t>
  </si>
  <si>
    <t>Ana Luiza Porto</t>
  </si>
  <si>
    <t>Casa Grande da Serra</t>
  </si>
  <si>
    <t>Acre</t>
  </si>
  <si>
    <t>Tailândia</t>
  </si>
  <si>
    <t>Jade Vieira</t>
  </si>
  <si>
    <t>Calebe da Paz</t>
  </si>
  <si>
    <t>Ferreira de Martins</t>
  </si>
  <si>
    <t>Kamilly da Mota</t>
  </si>
  <si>
    <t>Cavalcanti de Goiás</t>
  </si>
  <si>
    <t>Tajiquistão</t>
  </si>
  <si>
    <t>Felipe Farias</t>
  </si>
  <si>
    <t>Porto</t>
  </si>
  <si>
    <t>Maranhão</t>
  </si>
  <si>
    <t>Quirguizistão</t>
  </si>
  <si>
    <t>Enzo Gabriel Freitas</t>
  </si>
  <si>
    <t>Costa</t>
  </si>
  <si>
    <t>Chipre</t>
  </si>
  <si>
    <t>Juan Barros</t>
  </si>
  <si>
    <t>Teixeira do Campo</t>
  </si>
  <si>
    <t>Coreia do Sul</t>
  </si>
  <si>
    <t>Levi da Luz</t>
  </si>
  <si>
    <t>Sales das Pedras</t>
  </si>
  <si>
    <t>Paraná</t>
  </si>
  <si>
    <t>Grécia</t>
  </si>
  <si>
    <t>Helena Moreira</t>
  </si>
  <si>
    <t>Srta. Esther Ramos</t>
  </si>
  <si>
    <t>Câmara</t>
  </si>
  <si>
    <t>Luana Caldeira</t>
  </si>
  <si>
    <t>Brito</t>
  </si>
  <si>
    <t>Pará</t>
  </si>
  <si>
    <t>Comores</t>
  </si>
  <si>
    <t>Sra. Lara Cirino</t>
  </si>
  <si>
    <t>Pacheco de da Luz</t>
  </si>
  <si>
    <t>Cazaquistão</t>
  </si>
  <si>
    <t>Nicolas Ramos</t>
  </si>
  <si>
    <t>Aparecida do Norte</t>
  </si>
  <si>
    <t>Apollo Brito</t>
  </si>
  <si>
    <t>Alves Paulista</t>
  </si>
  <si>
    <t>Santa Catarina</t>
  </si>
  <si>
    <t>Mônaco</t>
  </si>
  <si>
    <t>Davi Miguel Moraes</t>
  </si>
  <si>
    <t>Souza dos Dourados</t>
  </si>
  <si>
    <t>Mato Grosso</t>
  </si>
  <si>
    <t>Guiné-Bissau</t>
  </si>
  <si>
    <t>Erick Casa Grande</t>
  </si>
  <si>
    <t>Montenegro de Goiás</t>
  </si>
  <si>
    <t>Groenlândia</t>
  </si>
  <si>
    <t>Anthony Gabriel da Luz</t>
  </si>
  <si>
    <t>Machado</t>
  </si>
  <si>
    <t>Bermudas</t>
  </si>
  <si>
    <t>João Miguel Garcia</t>
  </si>
  <si>
    <t>Costa das Pedras</t>
  </si>
  <si>
    <t>Dra. Ana Barbosa</t>
  </si>
  <si>
    <t>Silva</t>
  </si>
  <si>
    <t>Tonga</t>
  </si>
  <si>
    <t>Maria Sophia Souza</t>
  </si>
  <si>
    <t>Espírito Santo</t>
  </si>
  <si>
    <t>Estados Unidos</t>
  </si>
  <si>
    <t>Dr. Luiz Felipe da Conceição</t>
  </si>
  <si>
    <t>das Neves de Melo</t>
  </si>
  <si>
    <t>República Centro-Africana</t>
  </si>
  <si>
    <t>Cauê Vargas</t>
  </si>
  <si>
    <t>Entregas por Status</t>
  </si>
  <si>
    <t>Qtde</t>
  </si>
  <si>
    <t>Entregas por Ano</t>
  </si>
  <si>
    <t>Top 10 Cidades por Entregas</t>
  </si>
  <si>
    <t>Entregas por Categoria</t>
  </si>
  <si>
    <t>Frete por Categoria</t>
  </si>
  <si>
    <t>Valor Frete</t>
  </si>
  <si>
    <t>Top 10 Cidades por Lucro</t>
  </si>
  <si>
    <t>Top 10 Motoristas menor tempo médio</t>
  </si>
  <si>
    <t>Motorista</t>
  </si>
  <si>
    <t>Arquivo Power BI - instruções</t>
  </si>
  <si>
    <t>1. Importe a aba Dados ou o CSV entregas_powerbi.csv no Power BI Desktop.</t>
  </si>
  <si>
    <t>2. Configure tipos: valor_frete/custo_entrega/distancia_km/peso/lucro como decimal; ano/mês/trimestre/dia como inteiro.</t>
  </si>
  <si>
    <t>3. Crie os cartões: Total Entregas, Frete Total, Custo Total, Lucro, Tempo Médio, Distância Média.</t>
  </si>
  <si>
    <t>4. Use visuais: barras por Cidade, Ano, Categoria e Status; tabela por motorista.</t>
  </si>
  <si>
    <t>5. Use segmentadores: ano, categoria, status_entrega, cidade.</t>
  </si>
  <si>
    <t>Medida DAX</t>
  </si>
  <si>
    <t>Formula</t>
  </si>
  <si>
    <t>Total Entregas</t>
  </si>
  <si>
    <t>Total Entregas = COUNTROWS(entregas_powerbi)</t>
  </si>
  <si>
    <t>Entregas Concluídas</t>
  </si>
  <si>
    <t>Entregas Concluidas = CALCULATE([Total Entregas], entregas_powerbi[status_entrega] = "Entregue")</t>
  </si>
  <si>
    <t>Frete Total = SUM(entregas_powerbi[valor_frete])</t>
  </si>
  <si>
    <t>Custo Total = SUM(entregas_powerbi[custo_entrega])</t>
  </si>
  <si>
    <t>Lucro = [Frete Total] - [Custo Total]</t>
  </si>
  <si>
    <t>Margem %</t>
  </si>
  <si>
    <t>Margem % = DIVIDE([Lucro], [Frete Total])</t>
  </si>
  <si>
    <t>Tempo Medio = AVERAGE(entregas_powerbi[tempo_entrega])</t>
  </si>
  <si>
    <t>Distancia Media = AVERAGE(entregas_powerbi[distancia_km])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</si>
</sst>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10">
    <font>
      <sz val="11"/>
      <name val="Carlito"/>
    </font>
    <font>
      <b/>
      <sz val="11"/>
      <color rgb="FFFFFFFF"/>
      <name val="Carlito"/>
    </font>
    <font>
      <b/>
      <sz val="12"/>
      <color rgb="FFFFFFFF"/>
      <name val="Carlito"/>
    </font>
    <font>
      <b/>
      <sz val="18"/>
      <color rgb="FFFFFFFF"/>
      <name val="Carlito"/>
    </font>
    <font>
      <b/>
      <sz val="12"/>
      <color rgb="FF111827"/>
      <name val="Carlito"/>
    </font>
    <font>
      <b/>
      <sz val="11"/>
      <name val="Carlito"/>
    </font>
    <font>
      <b/>
      <sz val="11"/>
      <color rgb="FF374151"/>
      <name val="Carlito"/>
    </font>
    <font>
      <b/>
      <sz val="14"/>
      <color rgb="FF111827"/>
      <name val="Carlito"/>
    </font>
    <font>
      <b/>
      <sz val="13"/>
      <color rgb="FFFFFFFF"/>
      <name val="Carlito"/>
    </font>
    <font>
      <b/>
      <sz val="14"/>
      <color rgb="FFFFFFFF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1F2937"/>
      </patternFill>
    </fill>
    <fill>
      <patternFill patternType="solid">
        <fgColor rgb="FF374151"/>
      </patternFill>
    </fill>
    <fill>
      <patternFill patternType="solid">
        <fgColor rgb="FF0B1220"/>
      </patternFill>
    </fill>
    <fill>
      <patternFill patternType="solid">
        <fgColor rgb="FFE5E7EB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1" fillId="4" borderId="0" xfId="0" applyFont="1" applyFill="1"/>
    <xf numFmtId="0" fontId="4" fillId="0" borderId="0" xfId="0" applyFont="1"/>
    <xf numFmtId="0" fontId="5" fillId="6" borderId="0" xfId="0" applyFont="1" applyFill="1" applyAlignment="1">
      <alignment horizontal="center"/>
    </xf>
    <xf numFmtId="0" fontId="0" fillId="7" borderId="0" xfId="0" applyFill="1"/>
    <xf numFmtId="0" fontId="6" fillId="8" borderId="0" xfId="0" applyFont="1" applyFill="1"/>
    <xf numFmtId="164" fontId="7" fillId="8" borderId="0" xfId="0" applyNumberFormat="1" applyFont="1" applyFill="1" applyAlignment="1">
      <alignment horizontal="right"/>
    </xf>
    <xf numFmtId="164" fontId="0" fillId="0" borderId="0" xfId="0" applyNumberFormat="1"/>
    <xf numFmtId="3" fontId="7" fillId="8" borderId="0" xfId="0" applyNumberFormat="1" applyFont="1" applyFill="1" applyAlignment="1">
      <alignment horizontal="right"/>
    </xf>
    <xf numFmtId="3" fontId="0" fillId="0" borderId="0" xfId="0" applyNumberFormat="1"/>
    <xf numFmtId="0" fontId="0" fillId="0" borderId="0" xfId="0" applyAlignment="1">
      <alignment wrapText="1"/>
    </xf>
    <xf numFmtId="0" fontId="9" fillId="2" borderId="0" xfId="0" applyFont="1" applyFill="1"/>
    <xf numFmtId="2" fontId="7" fillId="8" borderId="0" xfId="0" applyNumberFormat="1" applyFont="1" applyFill="1" applyAlignment="1">
      <alignment horizontal="right"/>
    </xf>
    <xf numFmtId="2" fontId="0" fillId="0" borderId="0" xfId="0" applyNumberFormat="1"/>
    <xf numFmtId="2" fontId="6" fillId="8" borderId="0" xfId="0" applyNumberFormat="1" applyFont="1" applyFill="1"/>
    <xf numFmtId="0" fontId="3" fillId="5" borderId="0" xfId="0" applyFont="1" applyFill="1" applyAlignment="1">
      <alignment horizontal="center" vertical="center"/>
    </xf>
    <xf numFmtId="0" fontId="0" fillId="0" borderId="0" xfId="0"/>
    <xf numFmtId="0" fontId="8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Top cidades por entregas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Entregas</c:v>
          </c:tx>
          <c:invertIfNegative val="1"/>
          <c:cat>
            <c:strRef>
              <c:f>Dashboard!$D$14:$D$23</c:f>
              <c:strCache>
                <c:ptCount val="10"/>
                <c:pt idx="0">
                  <c:v>Azevedo</c:v>
                </c:pt>
                <c:pt idx="1">
                  <c:v>Melo</c:v>
                </c:pt>
                <c:pt idx="2">
                  <c:v>Camargo das Pedras</c:v>
                </c:pt>
                <c:pt idx="3">
                  <c:v>Almeida</c:v>
                </c:pt>
                <c:pt idx="4">
                  <c:v>Guerra</c:v>
                </c:pt>
                <c:pt idx="5">
                  <c:v>Gonçalves do Sul</c:v>
                </c:pt>
                <c:pt idx="6">
                  <c:v>Fogaça dos Dourados</c:v>
                </c:pt>
                <c:pt idx="7">
                  <c:v>da Luz</c:v>
                </c:pt>
                <c:pt idx="8">
                  <c:v>Almeida Verde</c:v>
                </c:pt>
                <c:pt idx="9">
                  <c:v>Correia do Oeste</c:v>
                </c:pt>
              </c:strCache>
            </c:strRef>
          </c:cat>
          <c:val>
            <c:numRef>
              <c:f>Dashboard!$E$14:$E$23</c:f>
              <c:numCache>
                <c:formatCode>General</c:formatCode>
                <c:ptCount val="1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DB-4D66-B502-56D15F26F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Entregas por ano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Entregas</c:v>
          </c:tx>
          <c:invertIfNegative val="1"/>
          <c:cat>
            <c:numRef>
              <c:f>Dashboard!$G$14:$G$18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Dashboard!$H$14:$H$18</c:f>
              <c:numCache>
                <c:formatCode>General</c:formatCode>
                <c:ptCount val="5"/>
                <c:pt idx="0">
                  <c:v>24</c:v>
                </c:pt>
                <c:pt idx="1">
                  <c:v>26</c:v>
                </c:pt>
                <c:pt idx="2">
                  <c:v>10</c:v>
                </c:pt>
                <c:pt idx="3">
                  <c:v>14</c:v>
                </c:pt>
                <c:pt idx="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6D-4CE8-893C-2D3F6D261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t>Entregas por categoria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Entregas</c:v>
          </c:tx>
          <c:invertIfNegative val="1"/>
          <c:cat>
            <c:strRef>
              <c:f>Dashboard!$D$26:$D$29</c:f>
              <c:strCache>
                <c:ptCount val="4"/>
                <c:pt idx="0">
                  <c:v>Alimentos</c:v>
                </c:pt>
                <c:pt idx="1">
                  <c:v>Brinquedos</c:v>
                </c:pt>
                <c:pt idx="2">
                  <c:v>Eletrônicos</c:v>
                </c:pt>
                <c:pt idx="3">
                  <c:v>Roupas</c:v>
                </c:pt>
              </c:strCache>
            </c:strRef>
          </c:cat>
          <c:val>
            <c:numRef>
              <c:f>Dashboard!$E$26:$E$29</c:f>
              <c:numCache>
                <c:formatCode>General</c:formatCode>
                <c:ptCount val="4"/>
                <c:pt idx="0">
                  <c:v>28</c:v>
                </c:pt>
                <c:pt idx="1">
                  <c:v>26</c:v>
                </c:pt>
                <c:pt idx="2">
                  <c:v>24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4F-4559-A412-502EB1403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t>Status das entregas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Entregas</c:v>
          </c:tx>
          <c:invertIfNegative val="1"/>
          <c:cat>
            <c:strRef>
              <c:f>Dashboard!$G$26</c:f>
              <c:strCache>
                <c:ptCount val="1"/>
                <c:pt idx="0">
                  <c:v>Entregue</c:v>
                </c:pt>
              </c:strCache>
            </c:strRef>
          </c:cat>
          <c:val>
            <c:numRef>
              <c:f>Dashboard!$H$26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AB-42E9-B38B-2DF2DBEB1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0</xdr:rowOff>
    </xdr:from>
    <xdr:to>
      <xdr:col>3</xdr:col>
      <xdr:colOff>0</xdr:colOff>
      <xdr:row>34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18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35</xdr:row>
      <xdr:rowOff>0</xdr:rowOff>
    </xdr:from>
    <xdr:to>
      <xdr:col>3</xdr:col>
      <xdr:colOff>0</xdr:colOff>
      <xdr:row>50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35</xdr:row>
      <xdr:rowOff>0</xdr:rowOff>
    </xdr:from>
    <xdr:to>
      <xdr:col>6</xdr:col>
      <xdr:colOff>0</xdr:colOff>
      <xdr:row>50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Entregas" displayName="TabelaEntregas" ref="A1:AC101">
  <tableColumns count="29">
    <tableColumn id="1" xr3:uid="{00000000-0010-0000-0000-000001000000}" name="id_entrega"/>
    <tableColumn id="2" xr3:uid="{00000000-0010-0000-0000-000002000000}" name="tempo_entrega"/>
    <tableColumn id="3" xr3:uid="{00000000-0010-0000-0000-000003000000}" name="status_entrega"/>
    <tableColumn id="4" xr3:uid="{00000000-0010-0000-0000-000004000000}" name="valor_frete"/>
    <tableColumn id="5" xr3:uid="{00000000-0010-0000-0000-000005000000}" name="custo_entrega"/>
    <tableColumn id="6" xr3:uid="{00000000-0010-0000-0000-000006000000}" name="distancia_km"/>
    <tableColumn id="7" xr3:uid="{00000000-0010-0000-0000-000007000000}" name="id_cliente"/>
    <tableColumn id="8" xr3:uid="{00000000-0010-0000-0000-000008000000}" name="id_produto"/>
    <tableColumn id="9" xr3:uid="{00000000-0010-0000-0000-000009000000}" name="id_motorista"/>
    <tableColumn id="10" xr3:uid="{00000000-0010-0000-0000-00000A000000}" name="id_tempo"/>
    <tableColumn id="11" xr3:uid="{00000000-0010-0000-0000-00000B000000}" name="id_regiao"/>
    <tableColumn id="12" xr3:uid="{00000000-0010-0000-0000-00000C000000}" name="id_regiao-2"/>
    <tableColumn id="13" xr3:uid="{00000000-0010-0000-0000-00000D000000}" name="cidade"/>
    <tableColumn id="14" xr3:uid="{00000000-0010-0000-0000-00000E000000}" name="estado"/>
    <tableColumn id="15" xr3:uid="{00000000-0010-0000-0000-00000F000000}" name="pais"/>
    <tableColumn id="16" xr3:uid="{00000000-0010-0000-0000-000010000000}" name="id_produto-2"/>
    <tableColumn id="17" xr3:uid="{00000000-0010-0000-0000-000011000000}" name="categoria"/>
    <tableColumn id="18" xr3:uid="{00000000-0010-0000-0000-000012000000}" name="peso"/>
    <tableColumn id="19" xr3:uid="{00000000-0010-0000-0000-000013000000}" name="tipo"/>
    <tableColumn id="20" xr3:uid="{00000000-0010-0000-0000-000014000000}" name="id_tempo-2"/>
    <tableColumn id="21" xr3:uid="{00000000-0010-0000-0000-000015000000}" name="dia"/>
    <tableColumn id="22" xr3:uid="{00000000-0010-0000-0000-000016000000}" name="mes"/>
    <tableColumn id="23" xr3:uid="{00000000-0010-0000-0000-000017000000}" name="trimestre"/>
    <tableColumn id="24" xr3:uid="{00000000-0010-0000-0000-000018000000}" name="ano"/>
    <tableColumn id="25" xr3:uid="{00000000-0010-0000-0000-000019000000}" name="id_motorista-2"/>
    <tableColumn id="26" xr3:uid="{00000000-0010-0000-0000-00001A000000}" name="nome"/>
    <tableColumn id="27" xr3:uid="{00000000-0010-0000-0000-00001B000000}" name="idade"/>
    <tableColumn id="28" xr3:uid="{00000000-0010-0000-0000-00001C000000}" name="experiencia"/>
    <tableColumn id="29" xr3:uid="{00000000-0010-0000-0000-00001D000000}" name="lucr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workbookViewId="0">
      <selection activeCell="M4" sqref="M4"/>
    </sheetView>
  </sheetViews>
  <sheetFormatPr defaultRowHeight="13.8"/>
  <cols>
    <col min="1" max="1" width="42.69921875" customWidth="1"/>
    <col min="2" max="2" width="55" customWidth="1"/>
    <col min="3" max="3" width="7.69921875" customWidth="1"/>
    <col min="4" max="4" width="16.3984375" customWidth="1"/>
    <col min="5" max="5" width="75.5" customWidth="1"/>
    <col min="7" max="7" width="12.69921875" customWidth="1"/>
    <col min="8" max="8" width="75.5" customWidth="1"/>
  </cols>
  <sheetData>
    <row r="1" spans="1:13" ht="25.65" customHeight="1">
      <c r="A1" s="17" t="s">
        <v>0</v>
      </c>
      <c r="B1" s="18"/>
      <c r="C1" s="18"/>
      <c r="D1" s="18"/>
      <c r="E1" s="18"/>
      <c r="F1" s="18"/>
      <c r="G1" s="18"/>
      <c r="H1" s="18"/>
    </row>
    <row r="3" spans="1:13" ht="15.6">
      <c r="A3" s="4" t="s">
        <v>1</v>
      </c>
      <c r="B3" s="5" t="s">
        <v>2</v>
      </c>
      <c r="C3" s="5" t="s">
        <v>3</v>
      </c>
      <c r="D3" s="5" t="s">
        <v>4</v>
      </c>
      <c r="K3" t="s">
        <v>5</v>
      </c>
      <c r="L3" t="s">
        <v>5</v>
      </c>
      <c r="M3" t="s">
        <v>5</v>
      </c>
    </row>
    <row r="4" spans="1:13">
      <c r="B4" s="6" t="s">
        <v>5</v>
      </c>
      <c r="C4" s="6" t="s">
        <v>5</v>
      </c>
      <c r="D4" s="6" t="s">
        <v>5</v>
      </c>
      <c r="K4" t="s">
        <v>6</v>
      </c>
      <c r="L4" t="s">
        <v>7</v>
      </c>
      <c r="M4" t="s">
        <v>8</v>
      </c>
    </row>
    <row r="5" spans="1:13">
      <c r="K5" t="s">
        <v>9</v>
      </c>
      <c r="L5" t="s">
        <v>10</v>
      </c>
    </row>
    <row r="6" spans="1:13" ht="17.399999999999999">
      <c r="A6" s="7" t="s">
        <v>11</v>
      </c>
      <c r="B6" s="10">
        <f>COUNTIFS(Dados!$X:$X,IF($B$4="Todos","*",$B$4),Dados!$Q:$Q,IF($C$4="Todos","*",$C$4),Dados!$C:$C,IF($D$4="Todos","*",$D$4))</f>
        <v>1</v>
      </c>
      <c r="D6" s="7" t="s">
        <v>12</v>
      </c>
      <c r="E6" s="8">
        <f>SUMIFS(Dados!$D:$D,Dados!$X:$X,IF($B$4="Todos","*",$B$4),Dados!$Q:$Q,IF($C$4="Todos","*",$C$4),Dados!$C:$C,IF($D$4="Todos","*",$D$4))</f>
        <v>0</v>
      </c>
      <c r="G6" s="7" t="s">
        <v>13</v>
      </c>
      <c r="H6" s="8">
        <f>SUMIFS(Dados!$E:$E,Dados!$X:$X,IF($B$4="Todos","*",$B$4),Dados!$Q:$Q,IF($C$4="Todos","*",$C$4),Dados!$C:$C,IF($D$4="Todos","*",$D$4))</f>
        <v>0</v>
      </c>
      <c r="K6" t="s">
        <v>14</v>
      </c>
      <c r="L6" t="s">
        <v>15</v>
      </c>
    </row>
    <row r="7" spans="1:13">
      <c r="B7" s="11"/>
      <c r="E7" s="9"/>
      <c r="H7" s="9"/>
      <c r="K7" t="s">
        <v>16</v>
      </c>
      <c r="L7" t="s">
        <v>17</v>
      </c>
    </row>
    <row r="8" spans="1:13">
      <c r="B8" s="11"/>
      <c r="E8" s="9"/>
      <c r="H8" s="9"/>
      <c r="K8" t="s">
        <v>18</v>
      </c>
    </row>
    <row r="9" spans="1:13" ht="17.399999999999999">
      <c r="A9" s="7" t="s">
        <v>19</v>
      </c>
      <c r="B9" s="10">
        <f>SUMIFS(Dados!$AC:$AC,Dados!$X:$X,IF($B$4="Todos","*",$B$4),Dados!$Q:$Q,IF($C$4="Todos","*",$C$4),Dados!$C:$C,IF($D$4="Todos","*",$D$4))</f>
        <v>0</v>
      </c>
      <c r="D9" s="7" t="s">
        <v>20</v>
      </c>
      <c r="E9" s="14">
        <f>IFERROR(SUMIFS(Dados!$B:$B,Dados!$X:$X,IF($B$4="Todos","*",$B$4),Dados!$Q:$Q,IF($C$4="Todos","*",$C$4),Dados!$C:$C,IF($D$4="Todos","*",$D$4))/COUNTIFS(Dados!$X:$X,IF($B$4="Todos","*",$B$4),Dados!$Q:$Q,IF($C$4="Todos","*",$C$4),Dados!$C:$C,IF($D$4="Todos","*",$D$4)),0)</f>
        <v>0</v>
      </c>
      <c r="F9" s="15"/>
      <c r="G9" s="16" t="s">
        <v>21</v>
      </c>
      <c r="H9" s="14">
        <f>IFERROR(SUMIFS(Dados!$F:$F,Dados!$X:$X,IF($B$4="Todos","*",$B$4),Dados!$Q:$Q,IF($C$4="Todos","*",$C$4),Dados!$C:$C,IF($D$4="Todos","*",$D$4))/COUNTIFS(Dados!$X:$X,IF($B$4="Todos","*",$B$4),Dados!$Q:$Q,IF($C$4="Todos","*",$C$4),Dados!$C:$C,IF($D$4="Todos","*",$D$4)),0)</f>
        <v>0</v>
      </c>
    </row>
    <row r="12" spans="1:13" ht="16.8">
      <c r="A12" s="19" t="s">
        <v>22</v>
      </c>
      <c r="B12" s="18"/>
      <c r="C12" s="18"/>
      <c r="D12" s="18"/>
      <c r="E12" s="18"/>
      <c r="F12" s="18"/>
      <c r="G12" s="18"/>
      <c r="H12" s="18"/>
    </row>
    <row r="13" spans="1:13">
      <c r="A13" s="3" t="s">
        <v>23</v>
      </c>
      <c r="B13" s="3" t="s">
        <v>24</v>
      </c>
      <c r="D13" s="3" t="s">
        <v>25</v>
      </c>
      <c r="E13" s="3" t="s">
        <v>26</v>
      </c>
      <c r="G13" s="3" t="s">
        <v>2</v>
      </c>
      <c r="H13" s="3" t="s">
        <v>26</v>
      </c>
    </row>
    <row r="14" spans="1:13" ht="27.6">
      <c r="A14" s="12" t="s">
        <v>27</v>
      </c>
      <c r="B14" s="12" t="s">
        <v>28</v>
      </c>
      <c r="D14" t="s">
        <v>29</v>
      </c>
      <c r="E14">
        <v>4</v>
      </c>
      <c r="G14">
        <v>2020</v>
      </c>
      <c r="H14">
        <v>24</v>
      </c>
    </row>
    <row r="15" spans="1:13">
      <c r="A15" s="12" t="s">
        <v>30</v>
      </c>
      <c r="B15" s="12" t="s">
        <v>31</v>
      </c>
      <c r="D15" t="s">
        <v>32</v>
      </c>
      <c r="E15">
        <v>4</v>
      </c>
      <c r="G15">
        <v>2021</v>
      </c>
      <c r="H15">
        <v>26</v>
      </c>
    </row>
    <row r="16" spans="1:13">
      <c r="A16" s="12" t="s">
        <v>33</v>
      </c>
      <c r="B16" s="12" t="s">
        <v>34</v>
      </c>
      <c r="D16" t="s">
        <v>35</v>
      </c>
      <c r="E16">
        <v>4</v>
      </c>
      <c r="G16">
        <v>2022</v>
      </c>
      <c r="H16">
        <v>10</v>
      </c>
    </row>
    <row r="17" spans="1:8">
      <c r="A17" s="12" t="s">
        <v>36</v>
      </c>
      <c r="B17" s="12" t="s">
        <v>37</v>
      </c>
      <c r="D17" t="s">
        <v>38</v>
      </c>
      <c r="E17">
        <v>2</v>
      </c>
      <c r="G17">
        <v>2023</v>
      </c>
      <c r="H17">
        <v>14</v>
      </c>
    </row>
    <row r="18" spans="1:8">
      <c r="D18" t="s">
        <v>39</v>
      </c>
      <c r="E18">
        <v>2</v>
      </c>
      <c r="G18">
        <v>2024</v>
      </c>
      <c r="H18">
        <v>26</v>
      </c>
    </row>
    <row r="19" spans="1:8">
      <c r="D19" t="s">
        <v>40</v>
      </c>
      <c r="E19">
        <v>2</v>
      </c>
    </row>
    <row r="20" spans="1:8">
      <c r="D20" t="s">
        <v>41</v>
      </c>
      <c r="E20">
        <v>2</v>
      </c>
    </row>
    <row r="21" spans="1:8">
      <c r="D21" t="s">
        <v>42</v>
      </c>
      <c r="E21">
        <v>2</v>
      </c>
    </row>
    <row r="22" spans="1:8">
      <c r="D22" t="s">
        <v>43</v>
      </c>
      <c r="E22">
        <v>2</v>
      </c>
    </row>
    <row r="23" spans="1:8">
      <c r="D23" t="s">
        <v>44</v>
      </c>
      <c r="E23">
        <v>2</v>
      </c>
    </row>
    <row r="25" spans="1:8">
      <c r="D25" s="3" t="s">
        <v>3</v>
      </c>
      <c r="E25" s="3" t="s">
        <v>26</v>
      </c>
      <c r="G25" s="3" t="s">
        <v>4</v>
      </c>
      <c r="H25" s="3" t="s">
        <v>26</v>
      </c>
    </row>
    <row r="26" spans="1:8">
      <c r="D26" t="s">
        <v>7</v>
      </c>
      <c r="E26">
        <v>28</v>
      </c>
      <c r="G26" t="s">
        <v>8</v>
      </c>
      <c r="H26">
        <v>100</v>
      </c>
    </row>
    <row r="27" spans="1:8">
      <c r="D27" t="s">
        <v>10</v>
      </c>
      <c r="E27">
        <v>26</v>
      </c>
    </row>
    <row r="28" spans="1:8">
      <c r="D28" t="s">
        <v>15</v>
      </c>
      <c r="E28">
        <v>24</v>
      </c>
    </row>
    <row r="29" spans="1:8">
      <c r="D29" t="s">
        <v>17</v>
      </c>
      <c r="E29">
        <v>22</v>
      </c>
    </row>
  </sheetData>
  <mergeCells count="2">
    <mergeCell ref="A1:H1"/>
    <mergeCell ref="A12:H12"/>
  </mergeCells>
  <dataValidations count="3">
    <dataValidation type="list" sqref="B4" xr:uid="{00000000-0002-0000-0000-000000000000}">
      <formula1>$K$3:$K$8</formula1>
    </dataValidation>
    <dataValidation type="list" sqref="C4" xr:uid="{00000000-0002-0000-0000-000001000000}">
      <formula1>$L$3:$L$7</formula1>
    </dataValidation>
    <dataValidation type="list" sqref="D4" xr:uid="{00000000-0002-0000-0000-000002000000}">
      <formula1>$M$3:$M$4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1"/>
  <sheetViews>
    <sheetView workbookViewId="0"/>
  </sheetViews>
  <sheetFormatPr defaultRowHeight="13.8"/>
  <cols>
    <col min="1" max="1" width="11.19921875" customWidth="1"/>
    <col min="2" max="2" width="14.69921875" customWidth="1"/>
    <col min="3" max="3" width="14.3984375" customWidth="1"/>
    <col min="4" max="4" width="11.5" customWidth="1"/>
    <col min="5" max="5" width="13.8984375" customWidth="1"/>
    <col min="6" max="6" width="13.09765625" customWidth="1"/>
    <col min="7" max="7" width="10.5" customWidth="1"/>
    <col min="8" max="8" width="11.59765625" customWidth="1"/>
    <col min="9" max="9" width="12.8984375" customWidth="1"/>
    <col min="10" max="10" width="10.3984375" customWidth="1"/>
    <col min="11" max="11" width="10.09765625" customWidth="1"/>
    <col min="12" max="12" width="11.59765625" customWidth="1"/>
    <col min="13" max="13" width="17" customWidth="1"/>
    <col min="14" max="14" width="15.8984375" customWidth="1"/>
    <col min="15" max="15" width="20" customWidth="1"/>
    <col min="16" max="16" width="13" customWidth="1"/>
    <col min="17" max="17" width="10.09765625" customWidth="1"/>
    <col min="18" max="18" width="6.59765625" customWidth="1"/>
    <col min="19" max="19" width="10.59765625" customWidth="1"/>
    <col min="20" max="20" width="11.8984375" customWidth="1"/>
    <col min="21" max="21" width="5.3984375" customWidth="1"/>
    <col min="22" max="22" width="6.19921875" customWidth="1"/>
    <col min="23" max="23" width="10.09765625" customWidth="1"/>
    <col min="24" max="24" width="5.8984375" customWidth="1"/>
    <col min="25" max="25" width="14.19921875" customWidth="1"/>
    <col min="26" max="26" width="21" customWidth="1"/>
    <col min="27" max="27" width="7.19921875" customWidth="1"/>
    <col min="28" max="28" width="11.8984375" customWidth="1"/>
    <col min="29" max="29" width="6.8984375" customWidth="1"/>
  </cols>
  <sheetData>
    <row r="1" spans="1:29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</row>
    <row r="2" spans="1:29">
      <c r="A2">
        <v>55</v>
      </c>
      <c r="B2">
        <v>3</v>
      </c>
      <c r="C2" t="s">
        <v>8</v>
      </c>
      <c r="D2">
        <v>100</v>
      </c>
      <c r="E2">
        <v>80</v>
      </c>
      <c r="F2">
        <v>15</v>
      </c>
      <c r="G2">
        <v>511</v>
      </c>
      <c r="H2">
        <v>1202</v>
      </c>
      <c r="I2">
        <v>1502</v>
      </c>
      <c r="J2">
        <v>1</v>
      </c>
      <c r="K2">
        <v>1</v>
      </c>
      <c r="L2">
        <v>1</v>
      </c>
      <c r="M2" t="s">
        <v>38</v>
      </c>
      <c r="N2" t="s">
        <v>74</v>
      </c>
      <c r="O2" t="s">
        <v>75</v>
      </c>
      <c r="P2">
        <v>1202</v>
      </c>
      <c r="Q2" t="s">
        <v>7</v>
      </c>
      <c r="R2">
        <v>405.16</v>
      </c>
      <c r="S2" t="s">
        <v>76</v>
      </c>
      <c r="T2">
        <v>1</v>
      </c>
      <c r="U2">
        <v>27</v>
      </c>
      <c r="V2">
        <v>9</v>
      </c>
      <c r="W2">
        <v>3</v>
      </c>
      <c r="X2">
        <v>2020</v>
      </c>
      <c r="Y2">
        <v>1502</v>
      </c>
      <c r="Z2" t="s">
        <v>77</v>
      </c>
      <c r="AA2">
        <v>28</v>
      </c>
      <c r="AB2">
        <v>37</v>
      </c>
      <c r="AC2">
        <v>20</v>
      </c>
    </row>
    <row r="3" spans="1:29">
      <c r="A3">
        <v>5</v>
      </c>
      <c r="B3">
        <v>3</v>
      </c>
      <c r="C3" t="s">
        <v>8</v>
      </c>
      <c r="D3">
        <v>100</v>
      </c>
      <c r="E3">
        <v>80</v>
      </c>
      <c r="F3">
        <v>15</v>
      </c>
      <c r="G3">
        <v>511</v>
      </c>
      <c r="H3">
        <v>1202</v>
      </c>
      <c r="I3">
        <v>1502</v>
      </c>
      <c r="J3">
        <v>1</v>
      </c>
      <c r="K3">
        <v>1</v>
      </c>
      <c r="L3">
        <v>1</v>
      </c>
      <c r="M3" t="s">
        <v>38</v>
      </c>
      <c r="N3" t="s">
        <v>74</v>
      </c>
      <c r="O3" t="s">
        <v>75</v>
      </c>
      <c r="P3">
        <v>1202</v>
      </c>
      <c r="Q3" t="s">
        <v>7</v>
      </c>
      <c r="R3">
        <v>405.16</v>
      </c>
      <c r="S3" t="s">
        <v>76</v>
      </c>
      <c r="T3">
        <v>1</v>
      </c>
      <c r="U3">
        <v>27</v>
      </c>
      <c r="V3">
        <v>9</v>
      </c>
      <c r="W3">
        <v>3</v>
      </c>
      <c r="X3">
        <v>2020</v>
      </c>
      <c r="Y3">
        <v>1502</v>
      </c>
      <c r="Z3" t="s">
        <v>77</v>
      </c>
      <c r="AA3">
        <v>28</v>
      </c>
      <c r="AB3">
        <v>37</v>
      </c>
      <c r="AC3">
        <v>20</v>
      </c>
    </row>
    <row r="4" spans="1:29">
      <c r="A4">
        <v>56</v>
      </c>
      <c r="B4">
        <v>3</v>
      </c>
      <c r="C4" t="s">
        <v>8</v>
      </c>
      <c r="D4">
        <v>100</v>
      </c>
      <c r="E4">
        <v>80</v>
      </c>
      <c r="F4">
        <v>15</v>
      </c>
      <c r="G4">
        <v>512</v>
      </c>
      <c r="H4">
        <v>1</v>
      </c>
      <c r="I4">
        <v>1503</v>
      </c>
      <c r="J4">
        <v>2</v>
      </c>
      <c r="K4">
        <v>2</v>
      </c>
      <c r="L4">
        <v>2</v>
      </c>
      <c r="M4" t="s">
        <v>39</v>
      </c>
      <c r="N4" t="s">
        <v>78</v>
      </c>
      <c r="O4" t="s">
        <v>79</v>
      </c>
      <c r="P4">
        <v>1</v>
      </c>
      <c r="Q4" t="s">
        <v>10</v>
      </c>
      <c r="R4">
        <v>463.39</v>
      </c>
      <c r="S4" t="s">
        <v>80</v>
      </c>
      <c r="T4">
        <v>2</v>
      </c>
      <c r="U4">
        <v>10</v>
      </c>
      <c r="V4">
        <v>7</v>
      </c>
      <c r="W4">
        <v>3</v>
      </c>
      <c r="X4">
        <v>2023</v>
      </c>
      <c r="Y4">
        <v>1503</v>
      </c>
      <c r="Z4" t="s">
        <v>81</v>
      </c>
      <c r="AA4">
        <v>59</v>
      </c>
      <c r="AB4">
        <v>27</v>
      </c>
      <c r="AC4">
        <v>20</v>
      </c>
    </row>
    <row r="5" spans="1:29">
      <c r="A5">
        <v>6</v>
      </c>
      <c r="B5">
        <v>3</v>
      </c>
      <c r="C5" t="s">
        <v>8</v>
      </c>
      <c r="D5">
        <v>100</v>
      </c>
      <c r="E5">
        <v>80</v>
      </c>
      <c r="F5">
        <v>15</v>
      </c>
      <c r="G5">
        <v>512</v>
      </c>
      <c r="H5">
        <v>1</v>
      </c>
      <c r="I5">
        <v>1503</v>
      </c>
      <c r="J5">
        <v>2</v>
      </c>
      <c r="K5">
        <v>2</v>
      </c>
      <c r="L5">
        <v>2</v>
      </c>
      <c r="M5" t="s">
        <v>39</v>
      </c>
      <c r="N5" t="s">
        <v>78</v>
      </c>
      <c r="O5" t="s">
        <v>79</v>
      </c>
      <c r="P5">
        <v>1</v>
      </c>
      <c r="Q5" t="s">
        <v>10</v>
      </c>
      <c r="R5">
        <v>463.39</v>
      </c>
      <c r="S5" t="s">
        <v>80</v>
      </c>
      <c r="T5">
        <v>2</v>
      </c>
      <c r="U5">
        <v>10</v>
      </c>
      <c r="V5">
        <v>7</v>
      </c>
      <c r="W5">
        <v>3</v>
      </c>
      <c r="X5">
        <v>2023</v>
      </c>
      <c r="Y5">
        <v>1503</v>
      </c>
      <c r="Z5" t="s">
        <v>81</v>
      </c>
      <c r="AA5">
        <v>59</v>
      </c>
      <c r="AB5">
        <v>27</v>
      </c>
      <c r="AC5">
        <v>20</v>
      </c>
    </row>
    <row r="6" spans="1:29">
      <c r="A6">
        <v>7</v>
      </c>
      <c r="B6">
        <v>3</v>
      </c>
      <c r="C6" t="s">
        <v>8</v>
      </c>
      <c r="D6">
        <v>100</v>
      </c>
      <c r="E6">
        <v>80</v>
      </c>
      <c r="F6">
        <v>15</v>
      </c>
      <c r="G6">
        <v>513</v>
      </c>
      <c r="H6">
        <v>2</v>
      </c>
      <c r="I6">
        <v>1504</v>
      </c>
      <c r="J6">
        <v>3</v>
      </c>
      <c r="K6">
        <v>3</v>
      </c>
      <c r="L6">
        <v>3</v>
      </c>
      <c r="M6" t="s">
        <v>40</v>
      </c>
      <c r="N6" t="s">
        <v>82</v>
      </c>
      <c r="O6" t="s">
        <v>83</v>
      </c>
      <c r="P6">
        <v>2</v>
      </c>
      <c r="Q6" t="s">
        <v>15</v>
      </c>
      <c r="R6">
        <v>339.23</v>
      </c>
      <c r="S6" t="s">
        <v>76</v>
      </c>
      <c r="T6">
        <v>3</v>
      </c>
      <c r="U6">
        <v>17</v>
      </c>
      <c r="V6">
        <v>3</v>
      </c>
      <c r="W6">
        <v>1</v>
      </c>
      <c r="X6">
        <v>2021</v>
      </c>
      <c r="Y6">
        <v>1504</v>
      </c>
      <c r="Z6" t="s">
        <v>84</v>
      </c>
      <c r="AA6">
        <v>40</v>
      </c>
      <c r="AB6">
        <v>12</v>
      </c>
      <c r="AC6">
        <v>20</v>
      </c>
    </row>
    <row r="7" spans="1:29">
      <c r="A7">
        <v>57</v>
      </c>
      <c r="B7">
        <v>3</v>
      </c>
      <c r="C7" t="s">
        <v>8</v>
      </c>
      <c r="D7">
        <v>100</v>
      </c>
      <c r="E7">
        <v>80</v>
      </c>
      <c r="F7">
        <v>15</v>
      </c>
      <c r="G7">
        <v>513</v>
      </c>
      <c r="H7">
        <v>2</v>
      </c>
      <c r="I7">
        <v>1504</v>
      </c>
      <c r="J7">
        <v>3</v>
      </c>
      <c r="K7">
        <v>3</v>
      </c>
      <c r="L7">
        <v>3</v>
      </c>
      <c r="M7" t="s">
        <v>40</v>
      </c>
      <c r="N7" t="s">
        <v>82</v>
      </c>
      <c r="O7" t="s">
        <v>83</v>
      </c>
      <c r="P7">
        <v>2</v>
      </c>
      <c r="Q7" t="s">
        <v>15</v>
      </c>
      <c r="R7">
        <v>339.23</v>
      </c>
      <c r="S7" t="s">
        <v>76</v>
      </c>
      <c r="T7">
        <v>3</v>
      </c>
      <c r="U7">
        <v>17</v>
      </c>
      <c r="V7">
        <v>3</v>
      </c>
      <c r="W7">
        <v>1</v>
      </c>
      <c r="X7">
        <v>2021</v>
      </c>
      <c r="Y7">
        <v>1504</v>
      </c>
      <c r="Z7" t="s">
        <v>84</v>
      </c>
      <c r="AA7">
        <v>40</v>
      </c>
      <c r="AB7">
        <v>12</v>
      </c>
      <c r="AC7">
        <v>20</v>
      </c>
    </row>
    <row r="8" spans="1:29">
      <c r="A8">
        <v>8</v>
      </c>
      <c r="B8">
        <v>3</v>
      </c>
      <c r="C8" t="s">
        <v>8</v>
      </c>
      <c r="D8">
        <v>100</v>
      </c>
      <c r="E8">
        <v>80</v>
      </c>
      <c r="F8">
        <v>15</v>
      </c>
      <c r="G8">
        <v>514</v>
      </c>
      <c r="H8">
        <v>3</v>
      </c>
      <c r="I8">
        <v>2</v>
      </c>
      <c r="J8">
        <v>4</v>
      </c>
      <c r="K8">
        <v>4</v>
      </c>
      <c r="L8">
        <v>4</v>
      </c>
      <c r="M8" t="s">
        <v>41</v>
      </c>
      <c r="N8" t="s">
        <v>85</v>
      </c>
      <c r="O8" t="s">
        <v>86</v>
      </c>
      <c r="P8">
        <v>3</v>
      </c>
      <c r="Q8" t="s">
        <v>7</v>
      </c>
      <c r="R8">
        <v>293.52999999999997</v>
      </c>
      <c r="S8" t="s">
        <v>76</v>
      </c>
      <c r="T8">
        <v>4</v>
      </c>
      <c r="U8">
        <v>7</v>
      </c>
      <c r="V8">
        <v>12</v>
      </c>
      <c r="W8">
        <v>4</v>
      </c>
      <c r="X8">
        <v>2021</v>
      </c>
      <c r="Y8">
        <v>2</v>
      </c>
      <c r="Z8" t="s">
        <v>87</v>
      </c>
      <c r="AA8">
        <v>23</v>
      </c>
      <c r="AB8">
        <v>16</v>
      </c>
      <c r="AC8">
        <v>20</v>
      </c>
    </row>
    <row r="9" spans="1:29">
      <c r="A9">
        <v>58</v>
      </c>
      <c r="B9">
        <v>3</v>
      </c>
      <c r="C9" t="s">
        <v>8</v>
      </c>
      <c r="D9">
        <v>100</v>
      </c>
      <c r="E9">
        <v>80</v>
      </c>
      <c r="F9">
        <v>15</v>
      </c>
      <c r="G9">
        <v>514</v>
      </c>
      <c r="H9">
        <v>3</v>
      </c>
      <c r="I9">
        <v>2</v>
      </c>
      <c r="J9">
        <v>4</v>
      </c>
      <c r="K9">
        <v>4</v>
      </c>
      <c r="L9">
        <v>4</v>
      </c>
      <c r="M9" t="s">
        <v>41</v>
      </c>
      <c r="N9" t="s">
        <v>85</v>
      </c>
      <c r="O9" t="s">
        <v>86</v>
      </c>
      <c r="P9">
        <v>3</v>
      </c>
      <c r="Q9" t="s">
        <v>7</v>
      </c>
      <c r="R9">
        <v>293.52999999999997</v>
      </c>
      <c r="S9" t="s">
        <v>76</v>
      </c>
      <c r="T9">
        <v>4</v>
      </c>
      <c r="U9">
        <v>7</v>
      </c>
      <c r="V9">
        <v>12</v>
      </c>
      <c r="W9">
        <v>4</v>
      </c>
      <c r="X9">
        <v>2021</v>
      </c>
      <c r="Y9">
        <v>2</v>
      </c>
      <c r="Z9" t="s">
        <v>87</v>
      </c>
      <c r="AA9">
        <v>23</v>
      </c>
      <c r="AB9">
        <v>16</v>
      </c>
      <c r="AC9">
        <v>20</v>
      </c>
    </row>
    <row r="10" spans="1:29">
      <c r="A10">
        <v>9</v>
      </c>
      <c r="B10">
        <v>3</v>
      </c>
      <c r="C10" t="s">
        <v>8</v>
      </c>
      <c r="D10">
        <v>100</v>
      </c>
      <c r="E10">
        <v>80</v>
      </c>
      <c r="F10">
        <v>15</v>
      </c>
      <c r="G10">
        <v>515</v>
      </c>
      <c r="H10">
        <v>4</v>
      </c>
      <c r="I10">
        <v>3</v>
      </c>
      <c r="J10">
        <v>5</v>
      </c>
      <c r="K10">
        <v>5</v>
      </c>
      <c r="L10">
        <v>5</v>
      </c>
      <c r="M10" t="s">
        <v>42</v>
      </c>
      <c r="N10" t="s">
        <v>88</v>
      </c>
      <c r="O10" t="s">
        <v>89</v>
      </c>
      <c r="P10">
        <v>4</v>
      </c>
      <c r="Q10" t="s">
        <v>17</v>
      </c>
      <c r="R10">
        <v>211.66</v>
      </c>
      <c r="S10" t="s">
        <v>76</v>
      </c>
      <c r="T10">
        <v>5</v>
      </c>
      <c r="U10">
        <v>19</v>
      </c>
      <c r="V10">
        <v>1</v>
      </c>
      <c r="W10">
        <v>1</v>
      </c>
      <c r="X10">
        <v>2024</v>
      </c>
      <c r="Y10">
        <v>3</v>
      </c>
      <c r="Z10" t="s">
        <v>90</v>
      </c>
      <c r="AA10">
        <v>34</v>
      </c>
      <c r="AB10">
        <v>11</v>
      </c>
      <c r="AC10">
        <v>20</v>
      </c>
    </row>
    <row r="11" spans="1:29">
      <c r="A11">
        <v>59</v>
      </c>
      <c r="B11">
        <v>3</v>
      </c>
      <c r="C11" t="s">
        <v>8</v>
      </c>
      <c r="D11">
        <v>100</v>
      </c>
      <c r="E11">
        <v>80</v>
      </c>
      <c r="F11">
        <v>15</v>
      </c>
      <c r="G11">
        <v>515</v>
      </c>
      <c r="H11">
        <v>4</v>
      </c>
      <c r="I11">
        <v>3</v>
      </c>
      <c r="J11">
        <v>5</v>
      </c>
      <c r="K11">
        <v>5</v>
      </c>
      <c r="L11">
        <v>5</v>
      </c>
      <c r="M11" t="s">
        <v>42</v>
      </c>
      <c r="N11" t="s">
        <v>88</v>
      </c>
      <c r="O11" t="s">
        <v>89</v>
      </c>
      <c r="P11">
        <v>4</v>
      </c>
      <c r="Q11" t="s">
        <v>17</v>
      </c>
      <c r="R11">
        <v>211.66</v>
      </c>
      <c r="S11" t="s">
        <v>76</v>
      </c>
      <c r="T11">
        <v>5</v>
      </c>
      <c r="U11">
        <v>19</v>
      </c>
      <c r="V11">
        <v>1</v>
      </c>
      <c r="W11">
        <v>1</v>
      </c>
      <c r="X11">
        <v>2024</v>
      </c>
      <c r="Y11">
        <v>3</v>
      </c>
      <c r="Z11" t="s">
        <v>90</v>
      </c>
      <c r="AA11">
        <v>34</v>
      </c>
      <c r="AB11">
        <v>11</v>
      </c>
      <c r="AC11">
        <v>20</v>
      </c>
    </row>
    <row r="12" spans="1:29">
      <c r="A12">
        <v>10</v>
      </c>
      <c r="B12">
        <v>3</v>
      </c>
      <c r="C12" t="s">
        <v>8</v>
      </c>
      <c r="D12">
        <v>100</v>
      </c>
      <c r="E12">
        <v>80</v>
      </c>
      <c r="F12">
        <v>15</v>
      </c>
      <c r="G12">
        <v>516</v>
      </c>
      <c r="H12">
        <v>5</v>
      </c>
      <c r="I12">
        <v>4</v>
      </c>
      <c r="J12">
        <v>6</v>
      </c>
      <c r="K12">
        <v>6</v>
      </c>
      <c r="L12">
        <v>6</v>
      </c>
      <c r="M12" t="s">
        <v>43</v>
      </c>
      <c r="N12" t="s">
        <v>91</v>
      </c>
      <c r="O12" t="s">
        <v>92</v>
      </c>
      <c r="P12">
        <v>5</v>
      </c>
      <c r="Q12" t="s">
        <v>10</v>
      </c>
      <c r="R12">
        <v>418.75</v>
      </c>
      <c r="S12" t="s">
        <v>80</v>
      </c>
      <c r="T12">
        <v>6</v>
      </c>
      <c r="U12">
        <v>1</v>
      </c>
      <c r="V12">
        <v>6</v>
      </c>
      <c r="W12">
        <v>2</v>
      </c>
      <c r="X12">
        <v>2024</v>
      </c>
      <c r="Y12">
        <v>4</v>
      </c>
      <c r="Z12" t="s">
        <v>93</v>
      </c>
      <c r="AA12">
        <v>19</v>
      </c>
      <c r="AB12">
        <v>21</v>
      </c>
      <c r="AC12">
        <v>20</v>
      </c>
    </row>
    <row r="13" spans="1:29">
      <c r="A13">
        <v>60</v>
      </c>
      <c r="B13">
        <v>3</v>
      </c>
      <c r="C13" t="s">
        <v>8</v>
      </c>
      <c r="D13">
        <v>100</v>
      </c>
      <c r="E13">
        <v>80</v>
      </c>
      <c r="F13">
        <v>15</v>
      </c>
      <c r="G13">
        <v>516</v>
      </c>
      <c r="H13">
        <v>5</v>
      </c>
      <c r="I13">
        <v>4</v>
      </c>
      <c r="J13">
        <v>6</v>
      </c>
      <c r="K13">
        <v>6</v>
      </c>
      <c r="L13">
        <v>6</v>
      </c>
      <c r="M13" t="s">
        <v>43</v>
      </c>
      <c r="N13" t="s">
        <v>91</v>
      </c>
      <c r="O13" t="s">
        <v>92</v>
      </c>
      <c r="P13">
        <v>5</v>
      </c>
      <c r="Q13" t="s">
        <v>10</v>
      </c>
      <c r="R13">
        <v>418.75</v>
      </c>
      <c r="S13" t="s">
        <v>80</v>
      </c>
      <c r="T13">
        <v>6</v>
      </c>
      <c r="U13">
        <v>1</v>
      </c>
      <c r="V13">
        <v>6</v>
      </c>
      <c r="W13">
        <v>2</v>
      </c>
      <c r="X13">
        <v>2024</v>
      </c>
      <c r="Y13">
        <v>4</v>
      </c>
      <c r="Z13" t="s">
        <v>93</v>
      </c>
      <c r="AA13">
        <v>19</v>
      </c>
      <c r="AB13">
        <v>21</v>
      </c>
      <c r="AC13">
        <v>20</v>
      </c>
    </row>
    <row r="14" spans="1:29">
      <c r="A14">
        <v>11</v>
      </c>
      <c r="B14">
        <v>3</v>
      </c>
      <c r="C14" t="s">
        <v>8</v>
      </c>
      <c r="D14">
        <v>100</v>
      </c>
      <c r="E14">
        <v>80</v>
      </c>
      <c r="F14">
        <v>15</v>
      </c>
      <c r="G14">
        <v>517</v>
      </c>
      <c r="H14">
        <v>6</v>
      </c>
      <c r="I14">
        <v>5</v>
      </c>
      <c r="J14">
        <v>7</v>
      </c>
      <c r="K14">
        <v>7</v>
      </c>
      <c r="L14">
        <v>7</v>
      </c>
      <c r="M14" t="s">
        <v>44</v>
      </c>
      <c r="N14" t="s">
        <v>94</v>
      </c>
      <c r="O14" t="s">
        <v>95</v>
      </c>
      <c r="P14">
        <v>6</v>
      </c>
      <c r="Q14" t="s">
        <v>15</v>
      </c>
      <c r="R14">
        <v>552.88</v>
      </c>
      <c r="S14" t="s">
        <v>76</v>
      </c>
      <c r="T14">
        <v>7</v>
      </c>
      <c r="U14">
        <v>20</v>
      </c>
      <c r="V14">
        <v>6</v>
      </c>
      <c r="W14">
        <v>2</v>
      </c>
      <c r="X14">
        <v>2024</v>
      </c>
      <c r="Y14">
        <v>5</v>
      </c>
      <c r="Z14" t="s">
        <v>96</v>
      </c>
      <c r="AA14">
        <v>44</v>
      </c>
      <c r="AB14">
        <v>6</v>
      </c>
      <c r="AC14">
        <v>20</v>
      </c>
    </row>
    <row r="15" spans="1:29">
      <c r="A15">
        <v>61</v>
      </c>
      <c r="B15">
        <v>3</v>
      </c>
      <c r="C15" t="s">
        <v>8</v>
      </c>
      <c r="D15">
        <v>100</v>
      </c>
      <c r="E15">
        <v>80</v>
      </c>
      <c r="F15">
        <v>15</v>
      </c>
      <c r="G15">
        <v>517</v>
      </c>
      <c r="H15">
        <v>6</v>
      </c>
      <c r="I15">
        <v>5</v>
      </c>
      <c r="J15">
        <v>7</v>
      </c>
      <c r="K15">
        <v>7</v>
      </c>
      <c r="L15">
        <v>7</v>
      </c>
      <c r="M15" t="s">
        <v>44</v>
      </c>
      <c r="N15" t="s">
        <v>94</v>
      </c>
      <c r="O15" t="s">
        <v>95</v>
      </c>
      <c r="P15">
        <v>6</v>
      </c>
      <c r="Q15" t="s">
        <v>15</v>
      </c>
      <c r="R15">
        <v>552.88</v>
      </c>
      <c r="S15" t="s">
        <v>76</v>
      </c>
      <c r="T15">
        <v>7</v>
      </c>
      <c r="U15">
        <v>20</v>
      </c>
      <c r="V15">
        <v>6</v>
      </c>
      <c r="W15">
        <v>2</v>
      </c>
      <c r="X15">
        <v>2024</v>
      </c>
      <c r="Y15">
        <v>5</v>
      </c>
      <c r="Z15" t="s">
        <v>96</v>
      </c>
      <c r="AA15">
        <v>44</v>
      </c>
      <c r="AB15">
        <v>6</v>
      </c>
      <c r="AC15">
        <v>20</v>
      </c>
    </row>
    <row r="16" spans="1:29">
      <c r="A16">
        <v>12</v>
      </c>
      <c r="B16">
        <v>3</v>
      </c>
      <c r="C16" t="s">
        <v>8</v>
      </c>
      <c r="D16">
        <v>100</v>
      </c>
      <c r="E16">
        <v>80</v>
      </c>
      <c r="F16">
        <v>15</v>
      </c>
      <c r="G16">
        <v>518</v>
      </c>
      <c r="H16">
        <v>7</v>
      </c>
      <c r="I16">
        <v>6</v>
      </c>
      <c r="J16">
        <v>8</v>
      </c>
      <c r="K16">
        <v>8</v>
      </c>
      <c r="L16">
        <v>8</v>
      </c>
      <c r="M16" t="s">
        <v>97</v>
      </c>
      <c r="N16" t="s">
        <v>98</v>
      </c>
      <c r="O16" t="s">
        <v>99</v>
      </c>
      <c r="P16">
        <v>7</v>
      </c>
      <c r="Q16" t="s">
        <v>15</v>
      </c>
      <c r="R16">
        <v>686.73</v>
      </c>
      <c r="S16" t="s">
        <v>76</v>
      </c>
      <c r="T16">
        <v>8</v>
      </c>
      <c r="U16">
        <v>3</v>
      </c>
      <c r="V16">
        <v>11</v>
      </c>
      <c r="W16">
        <v>4</v>
      </c>
      <c r="X16">
        <v>2020</v>
      </c>
      <c r="Y16">
        <v>6</v>
      </c>
      <c r="Z16" t="s">
        <v>100</v>
      </c>
      <c r="AA16">
        <v>44</v>
      </c>
      <c r="AB16">
        <v>0</v>
      </c>
      <c r="AC16">
        <v>20</v>
      </c>
    </row>
    <row r="17" spans="1:29">
      <c r="A17">
        <v>62</v>
      </c>
      <c r="B17">
        <v>3</v>
      </c>
      <c r="C17" t="s">
        <v>8</v>
      </c>
      <c r="D17">
        <v>100</v>
      </c>
      <c r="E17">
        <v>80</v>
      </c>
      <c r="F17">
        <v>15</v>
      </c>
      <c r="G17">
        <v>518</v>
      </c>
      <c r="H17">
        <v>7</v>
      </c>
      <c r="I17">
        <v>6</v>
      </c>
      <c r="J17">
        <v>8</v>
      </c>
      <c r="K17">
        <v>8</v>
      </c>
      <c r="L17">
        <v>8</v>
      </c>
      <c r="M17" t="s">
        <v>97</v>
      </c>
      <c r="N17" t="s">
        <v>98</v>
      </c>
      <c r="O17" t="s">
        <v>99</v>
      </c>
      <c r="P17">
        <v>7</v>
      </c>
      <c r="Q17" t="s">
        <v>15</v>
      </c>
      <c r="R17">
        <v>686.73</v>
      </c>
      <c r="S17" t="s">
        <v>76</v>
      </c>
      <c r="T17">
        <v>8</v>
      </c>
      <c r="U17">
        <v>3</v>
      </c>
      <c r="V17">
        <v>11</v>
      </c>
      <c r="W17">
        <v>4</v>
      </c>
      <c r="X17">
        <v>2020</v>
      </c>
      <c r="Y17">
        <v>6</v>
      </c>
      <c r="Z17" t="s">
        <v>100</v>
      </c>
      <c r="AA17">
        <v>44</v>
      </c>
      <c r="AB17">
        <v>0</v>
      </c>
      <c r="AC17">
        <v>20</v>
      </c>
    </row>
    <row r="18" spans="1:29">
      <c r="A18">
        <v>13</v>
      </c>
      <c r="B18">
        <v>3</v>
      </c>
      <c r="C18" t="s">
        <v>8</v>
      </c>
      <c r="D18">
        <v>100</v>
      </c>
      <c r="E18">
        <v>80</v>
      </c>
      <c r="F18">
        <v>15</v>
      </c>
      <c r="G18">
        <v>519</v>
      </c>
      <c r="H18">
        <v>8</v>
      </c>
      <c r="I18">
        <v>7</v>
      </c>
      <c r="J18">
        <v>9</v>
      </c>
      <c r="K18">
        <v>9</v>
      </c>
      <c r="L18">
        <v>9</v>
      </c>
      <c r="M18" t="s">
        <v>101</v>
      </c>
      <c r="N18" t="s">
        <v>102</v>
      </c>
      <c r="O18" t="s">
        <v>103</v>
      </c>
      <c r="P18">
        <v>8</v>
      </c>
      <c r="Q18" t="s">
        <v>7</v>
      </c>
      <c r="R18">
        <v>961.68</v>
      </c>
      <c r="S18" t="s">
        <v>76</v>
      </c>
      <c r="T18">
        <v>9</v>
      </c>
      <c r="U18">
        <v>11</v>
      </c>
      <c r="V18">
        <v>1</v>
      </c>
      <c r="W18">
        <v>1</v>
      </c>
      <c r="X18">
        <v>2022</v>
      </c>
      <c r="Y18">
        <v>7</v>
      </c>
      <c r="Z18" t="s">
        <v>104</v>
      </c>
      <c r="AA18">
        <v>53</v>
      </c>
      <c r="AB18">
        <v>33</v>
      </c>
      <c r="AC18">
        <v>20</v>
      </c>
    </row>
    <row r="19" spans="1:29">
      <c r="A19">
        <v>63</v>
      </c>
      <c r="B19">
        <v>3</v>
      </c>
      <c r="C19" t="s">
        <v>8</v>
      </c>
      <c r="D19">
        <v>100</v>
      </c>
      <c r="E19">
        <v>80</v>
      </c>
      <c r="F19">
        <v>15</v>
      </c>
      <c r="G19">
        <v>519</v>
      </c>
      <c r="H19">
        <v>8</v>
      </c>
      <c r="I19">
        <v>7</v>
      </c>
      <c r="J19">
        <v>9</v>
      </c>
      <c r="K19">
        <v>9</v>
      </c>
      <c r="L19">
        <v>9</v>
      </c>
      <c r="M19" t="s">
        <v>101</v>
      </c>
      <c r="N19" t="s">
        <v>102</v>
      </c>
      <c r="O19" t="s">
        <v>103</v>
      </c>
      <c r="P19">
        <v>8</v>
      </c>
      <c r="Q19" t="s">
        <v>7</v>
      </c>
      <c r="R19">
        <v>961.68</v>
      </c>
      <c r="S19" t="s">
        <v>76</v>
      </c>
      <c r="T19">
        <v>9</v>
      </c>
      <c r="U19">
        <v>11</v>
      </c>
      <c r="V19">
        <v>1</v>
      </c>
      <c r="W19">
        <v>1</v>
      </c>
      <c r="X19">
        <v>2022</v>
      </c>
      <c r="Y19">
        <v>7</v>
      </c>
      <c r="Z19" t="s">
        <v>104</v>
      </c>
      <c r="AA19">
        <v>53</v>
      </c>
      <c r="AB19">
        <v>33</v>
      </c>
      <c r="AC19">
        <v>20</v>
      </c>
    </row>
    <row r="20" spans="1:29">
      <c r="A20">
        <v>64</v>
      </c>
      <c r="B20">
        <v>3</v>
      </c>
      <c r="C20" t="s">
        <v>8</v>
      </c>
      <c r="D20">
        <v>100</v>
      </c>
      <c r="E20">
        <v>80</v>
      </c>
      <c r="F20">
        <v>15</v>
      </c>
      <c r="G20">
        <v>520</v>
      </c>
      <c r="H20">
        <v>9</v>
      </c>
      <c r="I20">
        <v>8</v>
      </c>
      <c r="J20">
        <v>10</v>
      </c>
      <c r="K20">
        <v>10</v>
      </c>
      <c r="L20">
        <v>10</v>
      </c>
      <c r="M20" t="s">
        <v>105</v>
      </c>
      <c r="N20" t="s">
        <v>106</v>
      </c>
      <c r="O20" t="s">
        <v>107</v>
      </c>
      <c r="P20">
        <v>9</v>
      </c>
      <c r="Q20" t="s">
        <v>10</v>
      </c>
      <c r="R20">
        <v>791.66</v>
      </c>
      <c r="S20" t="s">
        <v>80</v>
      </c>
      <c r="T20">
        <v>10</v>
      </c>
      <c r="U20">
        <v>21</v>
      </c>
      <c r="V20">
        <v>10</v>
      </c>
      <c r="W20">
        <v>4</v>
      </c>
      <c r="X20">
        <v>2021</v>
      </c>
      <c r="Y20">
        <v>8</v>
      </c>
      <c r="Z20" t="s">
        <v>108</v>
      </c>
      <c r="AA20">
        <v>25</v>
      </c>
      <c r="AB20">
        <v>20</v>
      </c>
      <c r="AC20">
        <v>20</v>
      </c>
    </row>
    <row r="21" spans="1:29">
      <c r="A21">
        <v>14</v>
      </c>
      <c r="B21">
        <v>3</v>
      </c>
      <c r="C21" t="s">
        <v>8</v>
      </c>
      <c r="D21">
        <v>100</v>
      </c>
      <c r="E21">
        <v>80</v>
      </c>
      <c r="F21">
        <v>15</v>
      </c>
      <c r="G21">
        <v>520</v>
      </c>
      <c r="H21">
        <v>9</v>
      </c>
      <c r="I21">
        <v>8</v>
      </c>
      <c r="J21">
        <v>10</v>
      </c>
      <c r="K21">
        <v>10</v>
      </c>
      <c r="L21">
        <v>10</v>
      </c>
      <c r="M21" t="s">
        <v>105</v>
      </c>
      <c r="N21" t="s">
        <v>106</v>
      </c>
      <c r="O21" t="s">
        <v>107</v>
      </c>
      <c r="P21">
        <v>9</v>
      </c>
      <c r="Q21" t="s">
        <v>10</v>
      </c>
      <c r="R21">
        <v>791.66</v>
      </c>
      <c r="S21" t="s">
        <v>80</v>
      </c>
      <c r="T21">
        <v>10</v>
      </c>
      <c r="U21">
        <v>21</v>
      </c>
      <c r="V21">
        <v>10</v>
      </c>
      <c r="W21">
        <v>4</v>
      </c>
      <c r="X21">
        <v>2021</v>
      </c>
      <c r="Y21">
        <v>8</v>
      </c>
      <c r="Z21" t="s">
        <v>108</v>
      </c>
      <c r="AA21">
        <v>25</v>
      </c>
      <c r="AB21">
        <v>20</v>
      </c>
      <c r="AC21">
        <v>20</v>
      </c>
    </row>
    <row r="22" spans="1:29">
      <c r="A22">
        <v>65</v>
      </c>
      <c r="B22">
        <v>3</v>
      </c>
      <c r="C22" t="s">
        <v>8</v>
      </c>
      <c r="D22">
        <v>100</v>
      </c>
      <c r="E22">
        <v>80</v>
      </c>
      <c r="F22">
        <v>15</v>
      </c>
      <c r="G22">
        <v>521</v>
      </c>
      <c r="H22">
        <v>10</v>
      </c>
      <c r="I22">
        <v>9</v>
      </c>
      <c r="J22">
        <v>11</v>
      </c>
      <c r="K22">
        <v>11</v>
      </c>
      <c r="L22">
        <v>11</v>
      </c>
      <c r="M22" t="s">
        <v>109</v>
      </c>
      <c r="N22" t="s">
        <v>94</v>
      </c>
      <c r="O22" t="s">
        <v>110</v>
      </c>
      <c r="P22">
        <v>10</v>
      </c>
      <c r="Q22" t="s">
        <v>15</v>
      </c>
      <c r="R22">
        <v>862.92</v>
      </c>
      <c r="S22" t="s">
        <v>76</v>
      </c>
      <c r="T22">
        <v>11</v>
      </c>
      <c r="U22">
        <v>26</v>
      </c>
      <c r="V22">
        <v>11</v>
      </c>
      <c r="W22">
        <v>4</v>
      </c>
      <c r="X22">
        <v>2023</v>
      </c>
      <c r="Y22">
        <v>9</v>
      </c>
      <c r="Z22" t="s">
        <v>111</v>
      </c>
      <c r="AA22">
        <v>21</v>
      </c>
      <c r="AB22">
        <v>13</v>
      </c>
      <c r="AC22">
        <v>20</v>
      </c>
    </row>
    <row r="23" spans="1:29">
      <c r="A23">
        <v>15</v>
      </c>
      <c r="B23">
        <v>3</v>
      </c>
      <c r="C23" t="s">
        <v>8</v>
      </c>
      <c r="D23">
        <v>100</v>
      </c>
      <c r="E23">
        <v>80</v>
      </c>
      <c r="F23">
        <v>15</v>
      </c>
      <c r="G23">
        <v>521</v>
      </c>
      <c r="H23">
        <v>10</v>
      </c>
      <c r="I23">
        <v>9</v>
      </c>
      <c r="J23">
        <v>11</v>
      </c>
      <c r="K23">
        <v>11</v>
      </c>
      <c r="L23">
        <v>11</v>
      </c>
      <c r="M23" t="s">
        <v>109</v>
      </c>
      <c r="N23" t="s">
        <v>94</v>
      </c>
      <c r="O23" t="s">
        <v>110</v>
      </c>
      <c r="P23">
        <v>10</v>
      </c>
      <c r="Q23" t="s">
        <v>15</v>
      </c>
      <c r="R23">
        <v>862.92</v>
      </c>
      <c r="S23" t="s">
        <v>76</v>
      </c>
      <c r="T23">
        <v>11</v>
      </c>
      <c r="U23">
        <v>26</v>
      </c>
      <c r="V23">
        <v>11</v>
      </c>
      <c r="W23">
        <v>4</v>
      </c>
      <c r="X23">
        <v>2023</v>
      </c>
      <c r="Y23">
        <v>9</v>
      </c>
      <c r="Z23" t="s">
        <v>111</v>
      </c>
      <c r="AA23">
        <v>21</v>
      </c>
      <c r="AB23">
        <v>13</v>
      </c>
      <c r="AC23">
        <v>20</v>
      </c>
    </row>
    <row r="24" spans="1:29">
      <c r="A24">
        <v>66</v>
      </c>
      <c r="B24">
        <v>3</v>
      </c>
      <c r="C24" t="s">
        <v>8</v>
      </c>
      <c r="D24">
        <v>100</v>
      </c>
      <c r="E24">
        <v>80</v>
      </c>
      <c r="F24">
        <v>15</v>
      </c>
      <c r="G24">
        <v>522</v>
      </c>
      <c r="H24">
        <v>11</v>
      </c>
      <c r="I24">
        <v>10</v>
      </c>
      <c r="J24">
        <v>12</v>
      </c>
      <c r="K24">
        <v>12</v>
      </c>
      <c r="L24">
        <v>12</v>
      </c>
      <c r="M24" t="s">
        <v>112</v>
      </c>
      <c r="N24" t="s">
        <v>113</v>
      </c>
      <c r="O24" t="s">
        <v>114</v>
      </c>
      <c r="P24">
        <v>11</v>
      </c>
      <c r="Q24" t="s">
        <v>10</v>
      </c>
      <c r="R24">
        <v>221.64</v>
      </c>
      <c r="S24" t="s">
        <v>80</v>
      </c>
      <c r="T24">
        <v>12</v>
      </c>
      <c r="U24">
        <v>9</v>
      </c>
      <c r="V24">
        <v>12</v>
      </c>
      <c r="W24">
        <v>4</v>
      </c>
      <c r="X24">
        <v>2021</v>
      </c>
      <c r="Y24">
        <v>10</v>
      </c>
      <c r="Z24" t="s">
        <v>115</v>
      </c>
      <c r="AA24">
        <v>61</v>
      </c>
      <c r="AB24">
        <v>0</v>
      </c>
      <c r="AC24">
        <v>20</v>
      </c>
    </row>
    <row r="25" spans="1:29">
      <c r="A25">
        <v>16</v>
      </c>
      <c r="B25">
        <v>3</v>
      </c>
      <c r="C25" t="s">
        <v>8</v>
      </c>
      <c r="D25">
        <v>100</v>
      </c>
      <c r="E25">
        <v>80</v>
      </c>
      <c r="F25">
        <v>15</v>
      </c>
      <c r="G25">
        <v>522</v>
      </c>
      <c r="H25">
        <v>11</v>
      </c>
      <c r="I25">
        <v>10</v>
      </c>
      <c r="J25">
        <v>12</v>
      </c>
      <c r="K25">
        <v>12</v>
      </c>
      <c r="L25">
        <v>12</v>
      </c>
      <c r="M25" t="s">
        <v>112</v>
      </c>
      <c r="N25" t="s">
        <v>113</v>
      </c>
      <c r="O25" t="s">
        <v>114</v>
      </c>
      <c r="P25">
        <v>11</v>
      </c>
      <c r="Q25" t="s">
        <v>10</v>
      </c>
      <c r="R25">
        <v>221.64</v>
      </c>
      <c r="S25" t="s">
        <v>80</v>
      </c>
      <c r="T25">
        <v>12</v>
      </c>
      <c r="U25">
        <v>9</v>
      </c>
      <c r="V25">
        <v>12</v>
      </c>
      <c r="W25">
        <v>4</v>
      </c>
      <c r="X25">
        <v>2021</v>
      </c>
      <c r="Y25">
        <v>10</v>
      </c>
      <c r="Z25" t="s">
        <v>115</v>
      </c>
      <c r="AA25">
        <v>61</v>
      </c>
      <c r="AB25">
        <v>0</v>
      </c>
      <c r="AC25">
        <v>20</v>
      </c>
    </row>
    <row r="26" spans="1:29">
      <c r="A26">
        <v>17</v>
      </c>
      <c r="B26">
        <v>3</v>
      </c>
      <c r="C26" t="s">
        <v>8</v>
      </c>
      <c r="D26">
        <v>100</v>
      </c>
      <c r="E26">
        <v>80</v>
      </c>
      <c r="F26">
        <v>15</v>
      </c>
      <c r="G26">
        <v>523</v>
      </c>
      <c r="H26">
        <v>12</v>
      </c>
      <c r="I26">
        <v>11</v>
      </c>
      <c r="J26">
        <v>13</v>
      </c>
      <c r="K26">
        <v>13</v>
      </c>
      <c r="L26">
        <v>13</v>
      </c>
      <c r="M26" t="s">
        <v>116</v>
      </c>
      <c r="N26" t="s">
        <v>117</v>
      </c>
      <c r="O26" t="s">
        <v>118</v>
      </c>
      <c r="P26">
        <v>12</v>
      </c>
      <c r="Q26" t="s">
        <v>7</v>
      </c>
      <c r="R26">
        <v>388.97</v>
      </c>
      <c r="S26" t="s">
        <v>76</v>
      </c>
      <c r="T26">
        <v>13</v>
      </c>
      <c r="U26">
        <v>20</v>
      </c>
      <c r="V26">
        <v>11</v>
      </c>
      <c r="W26">
        <v>4</v>
      </c>
      <c r="X26">
        <v>2023</v>
      </c>
      <c r="Y26">
        <v>11</v>
      </c>
      <c r="Z26" t="s">
        <v>119</v>
      </c>
      <c r="AA26">
        <v>34</v>
      </c>
      <c r="AB26">
        <v>17</v>
      </c>
      <c r="AC26">
        <v>20</v>
      </c>
    </row>
    <row r="27" spans="1:29">
      <c r="A27">
        <v>67</v>
      </c>
      <c r="B27">
        <v>3</v>
      </c>
      <c r="C27" t="s">
        <v>8</v>
      </c>
      <c r="D27">
        <v>100</v>
      </c>
      <c r="E27">
        <v>80</v>
      </c>
      <c r="F27">
        <v>15</v>
      </c>
      <c r="G27">
        <v>523</v>
      </c>
      <c r="H27">
        <v>12</v>
      </c>
      <c r="I27">
        <v>11</v>
      </c>
      <c r="J27">
        <v>13</v>
      </c>
      <c r="K27">
        <v>13</v>
      </c>
      <c r="L27">
        <v>13</v>
      </c>
      <c r="M27" t="s">
        <v>116</v>
      </c>
      <c r="N27" t="s">
        <v>117</v>
      </c>
      <c r="O27" t="s">
        <v>118</v>
      </c>
      <c r="P27">
        <v>12</v>
      </c>
      <c r="Q27" t="s">
        <v>7</v>
      </c>
      <c r="R27">
        <v>388.97</v>
      </c>
      <c r="S27" t="s">
        <v>76</v>
      </c>
      <c r="T27">
        <v>13</v>
      </c>
      <c r="U27">
        <v>20</v>
      </c>
      <c r="V27">
        <v>11</v>
      </c>
      <c r="W27">
        <v>4</v>
      </c>
      <c r="X27">
        <v>2023</v>
      </c>
      <c r="Y27">
        <v>11</v>
      </c>
      <c r="Z27" t="s">
        <v>119</v>
      </c>
      <c r="AA27">
        <v>34</v>
      </c>
      <c r="AB27">
        <v>17</v>
      </c>
      <c r="AC27">
        <v>20</v>
      </c>
    </row>
    <row r="28" spans="1:29">
      <c r="A28">
        <v>18</v>
      </c>
      <c r="B28">
        <v>3</v>
      </c>
      <c r="C28" t="s">
        <v>8</v>
      </c>
      <c r="D28">
        <v>100</v>
      </c>
      <c r="E28">
        <v>80</v>
      </c>
      <c r="F28">
        <v>15</v>
      </c>
      <c r="G28">
        <v>524</v>
      </c>
      <c r="H28">
        <v>13</v>
      </c>
      <c r="I28">
        <v>12</v>
      </c>
      <c r="J28">
        <v>14</v>
      </c>
      <c r="K28">
        <v>14</v>
      </c>
      <c r="L28">
        <v>14</v>
      </c>
      <c r="M28" t="s">
        <v>120</v>
      </c>
      <c r="N28" t="s">
        <v>121</v>
      </c>
      <c r="O28" t="s">
        <v>122</v>
      </c>
      <c r="P28">
        <v>13</v>
      </c>
      <c r="Q28" t="s">
        <v>17</v>
      </c>
      <c r="R28">
        <v>319.12</v>
      </c>
      <c r="S28" t="s">
        <v>80</v>
      </c>
      <c r="T28">
        <v>14</v>
      </c>
      <c r="U28">
        <v>4</v>
      </c>
      <c r="V28">
        <v>3</v>
      </c>
      <c r="W28">
        <v>1</v>
      </c>
      <c r="X28">
        <v>2024</v>
      </c>
      <c r="Y28">
        <v>12</v>
      </c>
      <c r="Z28" t="s">
        <v>123</v>
      </c>
      <c r="AA28">
        <v>29</v>
      </c>
      <c r="AB28">
        <v>35</v>
      </c>
      <c r="AC28">
        <v>20</v>
      </c>
    </row>
    <row r="29" spans="1:29">
      <c r="A29">
        <v>68</v>
      </c>
      <c r="B29">
        <v>3</v>
      </c>
      <c r="C29" t="s">
        <v>8</v>
      </c>
      <c r="D29">
        <v>100</v>
      </c>
      <c r="E29">
        <v>80</v>
      </c>
      <c r="F29">
        <v>15</v>
      </c>
      <c r="G29">
        <v>524</v>
      </c>
      <c r="H29">
        <v>13</v>
      </c>
      <c r="I29">
        <v>12</v>
      </c>
      <c r="J29">
        <v>14</v>
      </c>
      <c r="K29">
        <v>14</v>
      </c>
      <c r="L29">
        <v>14</v>
      </c>
      <c r="M29" t="s">
        <v>120</v>
      </c>
      <c r="N29" t="s">
        <v>121</v>
      </c>
      <c r="O29" t="s">
        <v>122</v>
      </c>
      <c r="P29">
        <v>13</v>
      </c>
      <c r="Q29" t="s">
        <v>17</v>
      </c>
      <c r="R29">
        <v>319.12</v>
      </c>
      <c r="S29" t="s">
        <v>80</v>
      </c>
      <c r="T29">
        <v>14</v>
      </c>
      <c r="U29">
        <v>4</v>
      </c>
      <c r="V29">
        <v>3</v>
      </c>
      <c r="W29">
        <v>1</v>
      </c>
      <c r="X29">
        <v>2024</v>
      </c>
      <c r="Y29">
        <v>12</v>
      </c>
      <c r="Z29" t="s">
        <v>123</v>
      </c>
      <c r="AA29">
        <v>29</v>
      </c>
      <c r="AB29">
        <v>35</v>
      </c>
      <c r="AC29">
        <v>20</v>
      </c>
    </row>
    <row r="30" spans="1:29">
      <c r="A30">
        <v>69</v>
      </c>
      <c r="B30">
        <v>3</v>
      </c>
      <c r="C30" t="s">
        <v>8</v>
      </c>
      <c r="D30">
        <v>100</v>
      </c>
      <c r="E30">
        <v>80</v>
      </c>
      <c r="F30">
        <v>15</v>
      </c>
      <c r="G30">
        <v>525</v>
      </c>
      <c r="H30">
        <v>14</v>
      </c>
      <c r="I30">
        <v>13</v>
      </c>
      <c r="J30">
        <v>15</v>
      </c>
      <c r="K30">
        <v>15</v>
      </c>
      <c r="L30">
        <v>15</v>
      </c>
      <c r="M30" t="s">
        <v>124</v>
      </c>
      <c r="N30" t="s">
        <v>125</v>
      </c>
      <c r="O30" t="s">
        <v>126</v>
      </c>
      <c r="P30">
        <v>14</v>
      </c>
      <c r="Q30" t="s">
        <v>10</v>
      </c>
      <c r="R30">
        <v>198.57</v>
      </c>
      <c r="S30" t="s">
        <v>80</v>
      </c>
      <c r="T30">
        <v>15</v>
      </c>
      <c r="U30">
        <v>13</v>
      </c>
      <c r="V30">
        <v>1</v>
      </c>
      <c r="W30">
        <v>1</v>
      </c>
      <c r="X30">
        <v>2024</v>
      </c>
      <c r="Y30">
        <v>13</v>
      </c>
      <c r="Z30" t="s">
        <v>127</v>
      </c>
      <c r="AA30">
        <v>35</v>
      </c>
      <c r="AB30">
        <v>14</v>
      </c>
      <c r="AC30">
        <v>20</v>
      </c>
    </row>
    <row r="31" spans="1:29">
      <c r="A31">
        <v>19</v>
      </c>
      <c r="B31">
        <v>3</v>
      </c>
      <c r="C31" t="s">
        <v>8</v>
      </c>
      <c r="D31">
        <v>100</v>
      </c>
      <c r="E31">
        <v>80</v>
      </c>
      <c r="F31">
        <v>15</v>
      </c>
      <c r="G31">
        <v>525</v>
      </c>
      <c r="H31">
        <v>14</v>
      </c>
      <c r="I31">
        <v>13</v>
      </c>
      <c r="J31">
        <v>15</v>
      </c>
      <c r="K31">
        <v>15</v>
      </c>
      <c r="L31">
        <v>15</v>
      </c>
      <c r="M31" t="s">
        <v>124</v>
      </c>
      <c r="N31" t="s">
        <v>125</v>
      </c>
      <c r="O31" t="s">
        <v>126</v>
      </c>
      <c r="P31">
        <v>14</v>
      </c>
      <c r="Q31" t="s">
        <v>10</v>
      </c>
      <c r="R31">
        <v>198.57</v>
      </c>
      <c r="S31" t="s">
        <v>80</v>
      </c>
      <c r="T31">
        <v>15</v>
      </c>
      <c r="U31">
        <v>13</v>
      </c>
      <c r="V31">
        <v>1</v>
      </c>
      <c r="W31">
        <v>1</v>
      </c>
      <c r="X31">
        <v>2024</v>
      </c>
      <c r="Y31">
        <v>13</v>
      </c>
      <c r="Z31" t="s">
        <v>127</v>
      </c>
      <c r="AA31">
        <v>35</v>
      </c>
      <c r="AB31">
        <v>14</v>
      </c>
      <c r="AC31">
        <v>20</v>
      </c>
    </row>
    <row r="32" spans="1:29">
      <c r="A32">
        <v>20</v>
      </c>
      <c r="B32">
        <v>3</v>
      </c>
      <c r="C32" t="s">
        <v>8</v>
      </c>
      <c r="D32">
        <v>100</v>
      </c>
      <c r="E32">
        <v>80</v>
      </c>
      <c r="F32">
        <v>15</v>
      </c>
      <c r="G32">
        <v>526</v>
      </c>
      <c r="H32">
        <v>15</v>
      </c>
      <c r="I32">
        <v>14</v>
      </c>
      <c r="J32">
        <v>16</v>
      </c>
      <c r="K32">
        <v>16</v>
      </c>
      <c r="L32">
        <v>16</v>
      </c>
      <c r="M32" t="s">
        <v>29</v>
      </c>
      <c r="N32" t="s">
        <v>128</v>
      </c>
      <c r="O32" t="s">
        <v>79</v>
      </c>
      <c r="P32">
        <v>15</v>
      </c>
      <c r="Q32" t="s">
        <v>17</v>
      </c>
      <c r="R32">
        <v>817.35</v>
      </c>
      <c r="S32" t="s">
        <v>80</v>
      </c>
      <c r="T32">
        <v>16</v>
      </c>
      <c r="U32">
        <v>4</v>
      </c>
      <c r="V32">
        <v>1</v>
      </c>
      <c r="W32">
        <v>1</v>
      </c>
      <c r="X32">
        <v>2021</v>
      </c>
      <c r="Y32">
        <v>14</v>
      </c>
      <c r="Z32" t="s">
        <v>129</v>
      </c>
      <c r="AA32">
        <v>35</v>
      </c>
      <c r="AB32">
        <v>23</v>
      </c>
      <c r="AC32">
        <v>20</v>
      </c>
    </row>
    <row r="33" spans="1:29">
      <c r="A33">
        <v>70</v>
      </c>
      <c r="B33">
        <v>3</v>
      </c>
      <c r="C33" t="s">
        <v>8</v>
      </c>
      <c r="D33">
        <v>100</v>
      </c>
      <c r="E33">
        <v>80</v>
      </c>
      <c r="F33">
        <v>15</v>
      </c>
      <c r="G33">
        <v>526</v>
      </c>
      <c r="H33">
        <v>15</v>
      </c>
      <c r="I33">
        <v>14</v>
      </c>
      <c r="J33">
        <v>16</v>
      </c>
      <c r="K33">
        <v>16</v>
      </c>
      <c r="L33">
        <v>16</v>
      </c>
      <c r="M33" t="s">
        <v>29</v>
      </c>
      <c r="N33" t="s">
        <v>128</v>
      </c>
      <c r="O33" t="s">
        <v>79</v>
      </c>
      <c r="P33">
        <v>15</v>
      </c>
      <c r="Q33" t="s">
        <v>17</v>
      </c>
      <c r="R33">
        <v>817.35</v>
      </c>
      <c r="S33" t="s">
        <v>80</v>
      </c>
      <c r="T33">
        <v>16</v>
      </c>
      <c r="U33">
        <v>4</v>
      </c>
      <c r="V33">
        <v>1</v>
      </c>
      <c r="W33">
        <v>1</v>
      </c>
      <c r="X33">
        <v>2021</v>
      </c>
      <c r="Y33">
        <v>14</v>
      </c>
      <c r="Z33" t="s">
        <v>129</v>
      </c>
      <c r="AA33">
        <v>35</v>
      </c>
      <c r="AB33">
        <v>23</v>
      </c>
      <c r="AC33">
        <v>20</v>
      </c>
    </row>
    <row r="34" spans="1:29">
      <c r="A34">
        <v>71</v>
      </c>
      <c r="B34">
        <v>3</v>
      </c>
      <c r="C34" t="s">
        <v>8</v>
      </c>
      <c r="D34">
        <v>100</v>
      </c>
      <c r="E34">
        <v>80</v>
      </c>
      <c r="F34">
        <v>15</v>
      </c>
      <c r="G34">
        <v>527</v>
      </c>
      <c r="H34">
        <v>16</v>
      </c>
      <c r="I34">
        <v>15</v>
      </c>
      <c r="J34">
        <v>17</v>
      </c>
      <c r="K34">
        <v>17</v>
      </c>
      <c r="L34">
        <v>17</v>
      </c>
      <c r="M34" t="s">
        <v>130</v>
      </c>
      <c r="N34" t="s">
        <v>113</v>
      </c>
      <c r="O34" t="s">
        <v>131</v>
      </c>
      <c r="P34">
        <v>16</v>
      </c>
      <c r="Q34" t="s">
        <v>17</v>
      </c>
      <c r="R34">
        <v>717.12</v>
      </c>
      <c r="S34" t="s">
        <v>80</v>
      </c>
      <c r="T34">
        <v>17</v>
      </c>
      <c r="U34">
        <v>9</v>
      </c>
      <c r="V34">
        <v>3</v>
      </c>
      <c r="W34">
        <v>1</v>
      </c>
      <c r="X34">
        <v>2024</v>
      </c>
      <c r="Y34">
        <v>15</v>
      </c>
      <c r="Z34" t="s">
        <v>132</v>
      </c>
      <c r="AA34">
        <v>63</v>
      </c>
      <c r="AB34">
        <v>4</v>
      </c>
      <c r="AC34">
        <v>20</v>
      </c>
    </row>
    <row r="35" spans="1:29">
      <c r="A35">
        <v>21</v>
      </c>
      <c r="B35">
        <v>3</v>
      </c>
      <c r="C35" t="s">
        <v>8</v>
      </c>
      <c r="D35">
        <v>100</v>
      </c>
      <c r="E35">
        <v>80</v>
      </c>
      <c r="F35">
        <v>15</v>
      </c>
      <c r="G35">
        <v>527</v>
      </c>
      <c r="H35">
        <v>16</v>
      </c>
      <c r="I35">
        <v>15</v>
      </c>
      <c r="J35">
        <v>17</v>
      </c>
      <c r="K35">
        <v>17</v>
      </c>
      <c r="L35">
        <v>17</v>
      </c>
      <c r="M35" t="s">
        <v>130</v>
      </c>
      <c r="N35" t="s">
        <v>113</v>
      </c>
      <c r="O35" t="s">
        <v>131</v>
      </c>
      <c r="P35">
        <v>16</v>
      </c>
      <c r="Q35" t="s">
        <v>17</v>
      </c>
      <c r="R35">
        <v>717.12</v>
      </c>
      <c r="S35" t="s">
        <v>80</v>
      </c>
      <c r="T35">
        <v>17</v>
      </c>
      <c r="U35">
        <v>9</v>
      </c>
      <c r="V35">
        <v>3</v>
      </c>
      <c r="W35">
        <v>1</v>
      </c>
      <c r="X35">
        <v>2024</v>
      </c>
      <c r="Y35">
        <v>15</v>
      </c>
      <c r="Z35" t="s">
        <v>132</v>
      </c>
      <c r="AA35">
        <v>63</v>
      </c>
      <c r="AB35">
        <v>4</v>
      </c>
      <c r="AC35">
        <v>20</v>
      </c>
    </row>
    <row r="36" spans="1:29">
      <c r="A36">
        <v>22</v>
      </c>
      <c r="B36">
        <v>3</v>
      </c>
      <c r="C36" t="s">
        <v>8</v>
      </c>
      <c r="D36">
        <v>100</v>
      </c>
      <c r="E36">
        <v>80</v>
      </c>
      <c r="F36">
        <v>15</v>
      </c>
      <c r="G36">
        <v>528</v>
      </c>
      <c r="H36">
        <v>17</v>
      </c>
      <c r="I36">
        <v>16</v>
      </c>
      <c r="J36">
        <v>18</v>
      </c>
      <c r="K36">
        <v>18</v>
      </c>
      <c r="L36">
        <v>18</v>
      </c>
      <c r="M36" t="s">
        <v>133</v>
      </c>
      <c r="N36" t="s">
        <v>125</v>
      </c>
      <c r="O36" t="s">
        <v>134</v>
      </c>
      <c r="P36">
        <v>17</v>
      </c>
      <c r="Q36" t="s">
        <v>10</v>
      </c>
      <c r="R36">
        <v>589.26</v>
      </c>
      <c r="S36" t="s">
        <v>80</v>
      </c>
      <c r="T36">
        <v>18</v>
      </c>
      <c r="U36">
        <v>4</v>
      </c>
      <c r="V36">
        <v>6</v>
      </c>
      <c r="W36">
        <v>2</v>
      </c>
      <c r="X36">
        <v>2020</v>
      </c>
      <c r="Y36">
        <v>16</v>
      </c>
      <c r="Z36" t="s">
        <v>135</v>
      </c>
      <c r="AA36">
        <v>50</v>
      </c>
      <c r="AB36">
        <v>28</v>
      </c>
      <c r="AC36">
        <v>20</v>
      </c>
    </row>
    <row r="37" spans="1:29">
      <c r="A37">
        <v>72</v>
      </c>
      <c r="B37">
        <v>3</v>
      </c>
      <c r="C37" t="s">
        <v>8</v>
      </c>
      <c r="D37">
        <v>100</v>
      </c>
      <c r="E37">
        <v>80</v>
      </c>
      <c r="F37">
        <v>15</v>
      </c>
      <c r="G37">
        <v>528</v>
      </c>
      <c r="H37">
        <v>17</v>
      </c>
      <c r="I37">
        <v>16</v>
      </c>
      <c r="J37">
        <v>18</v>
      </c>
      <c r="K37">
        <v>18</v>
      </c>
      <c r="L37">
        <v>18</v>
      </c>
      <c r="M37" t="s">
        <v>133</v>
      </c>
      <c r="N37" t="s">
        <v>125</v>
      </c>
      <c r="O37" t="s">
        <v>134</v>
      </c>
      <c r="P37">
        <v>17</v>
      </c>
      <c r="Q37" t="s">
        <v>10</v>
      </c>
      <c r="R37">
        <v>589.26</v>
      </c>
      <c r="S37" t="s">
        <v>80</v>
      </c>
      <c r="T37">
        <v>18</v>
      </c>
      <c r="U37">
        <v>4</v>
      </c>
      <c r="V37">
        <v>6</v>
      </c>
      <c r="W37">
        <v>2</v>
      </c>
      <c r="X37">
        <v>2020</v>
      </c>
      <c r="Y37">
        <v>16</v>
      </c>
      <c r="Z37" t="s">
        <v>135</v>
      </c>
      <c r="AA37">
        <v>50</v>
      </c>
      <c r="AB37">
        <v>28</v>
      </c>
      <c r="AC37">
        <v>20</v>
      </c>
    </row>
    <row r="38" spans="1:29">
      <c r="A38">
        <v>23</v>
      </c>
      <c r="B38">
        <v>3</v>
      </c>
      <c r="C38" t="s">
        <v>8</v>
      </c>
      <c r="D38">
        <v>100</v>
      </c>
      <c r="E38">
        <v>80</v>
      </c>
      <c r="F38">
        <v>15</v>
      </c>
      <c r="G38">
        <v>529</v>
      </c>
      <c r="H38">
        <v>18</v>
      </c>
      <c r="I38">
        <v>17</v>
      </c>
      <c r="J38">
        <v>19</v>
      </c>
      <c r="K38">
        <v>19</v>
      </c>
      <c r="L38">
        <v>19</v>
      </c>
      <c r="M38" t="s">
        <v>136</v>
      </c>
      <c r="N38" t="s">
        <v>121</v>
      </c>
      <c r="O38" t="s">
        <v>137</v>
      </c>
      <c r="P38">
        <v>18</v>
      </c>
      <c r="Q38" t="s">
        <v>10</v>
      </c>
      <c r="R38">
        <v>845.54</v>
      </c>
      <c r="S38" t="s">
        <v>76</v>
      </c>
      <c r="T38">
        <v>19</v>
      </c>
      <c r="U38">
        <v>22</v>
      </c>
      <c r="V38">
        <v>4</v>
      </c>
      <c r="W38">
        <v>2</v>
      </c>
      <c r="X38">
        <v>2021</v>
      </c>
      <c r="Y38">
        <v>17</v>
      </c>
      <c r="Z38" t="s">
        <v>138</v>
      </c>
      <c r="AA38">
        <v>53</v>
      </c>
      <c r="AB38">
        <v>31</v>
      </c>
      <c r="AC38">
        <v>20</v>
      </c>
    </row>
    <row r="39" spans="1:29">
      <c r="A39">
        <v>73</v>
      </c>
      <c r="B39">
        <v>3</v>
      </c>
      <c r="C39" t="s">
        <v>8</v>
      </c>
      <c r="D39">
        <v>100</v>
      </c>
      <c r="E39">
        <v>80</v>
      </c>
      <c r="F39">
        <v>15</v>
      </c>
      <c r="G39">
        <v>529</v>
      </c>
      <c r="H39">
        <v>18</v>
      </c>
      <c r="I39">
        <v>17</v>
      </c>
      <c r="J39">
        <v>19</v>
      </c>
      <c r="K39">
        <v>19</v>
      </c>
      <c r="L39">
        <v>19</v>
      </c>
      <c r="M39" t="s">
        <v>136</v>
      </c>
      <c r="N39" t="s">
        <v>121</v>
      </c>
      <c r="O39" t="s">
        <v>137</v>
      </c>
      <c r="P39">
        <v>18</v>
      </c>
      <c r="Q39" t="s">
        <v>10</v>
      </c>
      <c r="R39">
        <v>845.54</v>
      </c>
      <c r="S39" t="s">
        <v>76</v>
      </c>
      <c r="T39">
        <v>19</v>
      </c>
      <c r="U39">
        <v>22</v>
      </c>
      <c r="V39">
        <v>4</v>
      </c>
      <c r="W39">
        <v>2</v>
      </c>
      <c r="X39">
        <v>2021</v>
      </c>
      <c r="Y39">
        <v>17</v>
      </c>
      <c r="Z39" t="s">
        <v>138</v>
      </c>
      <c r="AA39">
        <v>53</v>
      </c>
      <c r="AB39">
        <v>31</v>
      </c>
      <c r="AC39">
        <v>20</v>
      </c>
    </row>
    <row r="40" spans="1:29">
      <c r="A40">
        <v>74</v>
      </c>
      <c r="B40">
        <v>3</v>
      </c>
      <c r="C40" t="s">
        <v>8</v>
      </c>
      <c r="D40">
        <v>100</v>
      </c>
      <c r="E40">
        <v>80</v>
      </c>
      <c r="F40">
        <v>15</v>
      </c>
      <c r="G40">
        <v>530</v>
      </c>
      <c r="H40">
        <v>19</v>
      </c>
      <c r="I40">
        <v>18</v>
      </c>
      <c r="J40">
        <v>20</v>
      </c>
      <c r="K40">
        <v>20</v>
      </c>
      <c r="L40">
        <v>20</v>
      </c>
      <c r="M40" t="s">
        <v>139</v>
      </c>
      <c r="N40" t="s">
        <v>125</v>
      </c>
      <c r="O40" t="s">
        <v>140</v>
      </c>
      <c r="P40">
        <v>19</v>
      </c>
      <c r="Q40" t="s">
        <v>17</v>
      </c>
      <c r="R40">
        <v>822.99</v>
      </c>
      <c r="S40" t="s">
        <v>80</v>
      </c>
      <c r="T40">
        <v>20</v>
      </c>
      <c r="U40">
        <v>11</v>
      </c>
      <c r="V40">
        <v>8</v>
      </c>
      <c r="W40">
        <v>3</v>
      </c>
      <c r="X40">
        <v>2024</v>
      </c>
      <c r="Y40">
        <v>18</v>
      </c>
      <c r="Z40" t="s">
        <v>141</v>
      </c>
      <c r="AA40">
        <v>32</v>
      </c>
      <c r="AB40">
        <v>5</v>
      </c>
      <c r="AC40">
        <v>20</v>
      </c>
    </row>
    <row r="41" spans="1:29">
      <c r="A41">
        <v>24</v>
      </c>
      <c r="B41">
        <v>3</v>
      </c>
      <c r="C41" t="s">
        <v>8</v>
      </c>
      <c r="D41">
        <v>100</v>
      </c>
      <c r="E41">
        <v>80</v>
      </c>
      <c r="F41">
        <v>15</v>
      </c>
      <c r="G41">
        <v>530</v>
      </c>
      <c r="H41">
        <v>19</v>
      </c>
      <c r="I41">
        <v>18</v>
      </c>
      <c r="J41">
        <v>20</v>
      </c>
      <c r="K41">
        <v>20</v>
      </c>
      <c r="L41">
        <v>20</v>
      </c>
      <c r="M41" t="s">
        <v>139</v>
      </c>
      <c r="N41" t="s">
        <v>125</v>
      </c>
      <c r="O41" t="s">
        <v>140</v>
      </c>
      <c r="P41">
        <v>19</v>
      </c>
      <c r="Q41" t="s">
        <v>17</v>
      </c>
      <c r="R41">
        <v>822.99</v>
      </c>
      <c r="S41" t="s">
        <v>80</v>
      </c>
      <c r="T41">
        <v>20</v>
      </c>
      <c r="U41">
        <v>11</v>
      </c>
      <c r="V41">
        <v>8</v>
      </c>
      <c r="W41">
        <v>3</v>
      </c>
      <c r="X41">
        <v>2024</v>
      </c>
      <c r="Y41">
        <v>18</v>
      </c>
      <c r="Z41" t="s">
        <v>141</v>
      </c>
      <c r="AA41">
        <v>32</v>
      </c>
      <c r="AB41">
        <v>5</v>
      </c>
      <c r="AC41">
        <v>20</v>
      </c>
    </row>
    <row r="42" spans="1:29">
      <c r="A42">
        <v>25</v>
      </c>
      <c r="B42">
        <v>3</v>
      </c>
      <c r="C42" t="s">
        <v>8</v>
      </c>
      <c r="D42">
        <v>100</v>
      </c>
      <c r="E42">
        <v>80</v>
      </c>
      <c r="F42">
        <v>15</v>
      </c>
      <c r="G42">
        <v>531</v>
      </c>
      <c r="H42">
        <v>20</v>
      </c>
      <c r="I42">
        <v>19</v>
      </c>
      <c r="J42">
        <v>21</v>
      </c>
      <c r="K42">
        <v>21</v>
      </c>
      <c r="L42">
        <v>21</v>
      </c>
      <c r="M42" t="s">
        <v>32</v>
      </c>
      <c r="N42" t="s">
        <v>102</v>
      </c>
      <c r="O42" t="s">
        <v>142</v>
      </c>
      <c r="P42">
        <v>20</v>
      </c>
      <c r="Q42" t="s">
        <v>15</v>
      </c>
      <c r="R42">
        <v>451.81</v>
      </c>
      <c r="S42" t="s">
        <v>80</v>
      </c>
      <c r="T42">
        <v>21</v>
      </c>
      <c r="U42">
        <v>26</v>
      </c>
      <c r="V42">
        <v>11</v>
      </c>
      <c r="W42">
        <v>4</v>
      </c>
      <c r="X42">
        <v>2020</v>
      </c>
      <c r="Y42">
        <v>19</v>
      </c>
      <c r="Z42" t="s">
        <v>143</v>
      </c>
      <c r="AA42">
        <v>38</v>
      </c>
      <c r="AB42">
        <v>17</v>
      </c>
      <c r="AC42">
        <v>20</v>
      </c>
    </row>
    <row r="43" spans="1:29">
      <c r="A43">
        <v>75</v>
      </c>
      <c r="B43">
        <v>3</v>
      </c>
      <c r="C43" t="s">
        <v>8</v>
      </c>
      <c r="D43">
        <v>100</v>
      </c>
      <c r="E43">
        <v>80</v>
      </c>
      <c r="F43">
        <v>15</v>
      </c>
      <c r="G43">
        <v>531</v>
      </c>
      <c r="H43">
        <v>20</v>
      </c>
      <c r="I43">
        <v>19</v>
      </c>
      <c r="J43">
        <v>21</v>
      </c>
      <c r="K43">
        <v>21</v>
      </c>
      <c r="L43">
        <v>21</v>
      </c>
      <c r="M43" t="s">
        <v>32</v>
      </c>
      <c r="N43" t="s">
        <v>102</v>
      </c>
      <c r="O43" t="s">
        <v>142</v>
      </c>
      <c r="P43">
        <v>20</v>
      </c>
      <c r="Q43" t="s">
        <v>15</v>
      </c>
      <c r="R43">
        <v>451.81</v>
      </c>
      <c r="S43" t="s">
        <v>80</v>
      </c>
      <c r="T43">
        <v>21</v>
      </c>
      <c r="U43">
        <v>26</v>
      </c>
      <c r="V43">
        <v>11</v>
      </c>
      <c r="W43">
        <v>4</v>
      </c>
      <c r="X43">
        <v>2020</v>
      </c>
      <c r="Y43">
        <v>19</v>
      </c>
      <c r="Z43" t="s">
        <v>143</v>
      </c>
      <c r="AA43">
        <v>38</v>
      </c>
      <c r="AB43">
        <v>17</v>
      </c>
      <c r="AC43">
        <v>20</v>
      </c>
    </row>
    <row r="44" spans="1:29">
      <c r="A44">
        <v>76</v>
      </c>
      <c r="B44">
        <v>3</v>
      </c>
      <c r="C44" t="s">
        <v>8</v>
      </c>
      <c r="D44">
        <v>100</v>
      </c>
      <c r="E44">
        <v>80</v>
      </c>
      <c r="F44">
        <v>15</v>
      </c>
      <c r="G44">
        <v>532</v>
      </c>
      <c r="H44">
        <v>21</v>
      </c>
      <c r="I44">
        <v>20</v>
      </c>
      <c r="J44">
        <v>22</v>
      </c>
      <c r="K44">
        <v>22</v>
      </c>
      <c r="L44">
        <v>22</v>
      </c>
      <c r="M44" t="s">
        <v>144</v>
      </c>
      <c r="N44" t="s">
        <v>145</v>
      </c>
      <c r="O44" t="s">
        <v>146</v>
      </c>
      <c r="P44">
        <v>21</v>
      </c>
      <c r="Q44" t="s">
        <v>17</v>
      </c>
      <c r="R44">
        <v>179.98</v>
      </c>
      <c r="S44" t="s">
        <v>80</v>
      </c>
      <c r="T44">
        <v>22</v>
      </c>
      <c r="U44">
        <v>28</v>
      </c>
      <c r="V44">
        <v>4</v>
      </c>
      <c r="W44">
        <v>2</v>
      </c>
      <c r="X44">
        <v>2023</v>
      </c>
      <c r="Y44">
        <v>20</v>
      </c>
      <c r="Z44" t="s">
        <v>147</v>
      </c>
      <c r="AA44">
        <v>31</v>
      </c>
      <c r="AB44">
        <v>24</v>
      </c>
      <c r="AC44">
        <v>20</v>
      </c>
    </row>
    <row r="45" spans="1:29">
      <c r="A45">
        <v>26</v>
      </c>
      <c r="B45">
        <v>3</v>
      </c>
      <c r="C45" t="s">
        <v>8</v>
      </c>
      <c r="D45">
        <v>100</v>
      </c>
      <c r="E45">
        <v>80</v>
      </c>
      <c r="F45">
        <v>15</v>
      </c>
      <c r="G45">
        <v>532</v>
      </c>
      <c r="H45">
        <v>21</v>
      </c>
      <c r="I45">
        <v>20</v>
      </c>
      <c r="J45">
        <v>22</v>
      </c>
      <c r="K45">
        <v>22</v>
      </c>
      <c r="L45">
        <v>22</v>
      </c>
      <c r="M45" t="s">
        <v>144</v>
      </c>
      <c r="N45" t="s">
        <v>145</v>
      </c>
      <c r="O45" t="s">
        <v>146</v>
      </c>
      <c r="P45">
        <v>21</v>
      </c>
      <c r="Q45" t="s">
        <v>17</v>
      </c>
      <c r="R45">
        <v>179.98</v>
      </c>
      <c r="S45" t="s">
        <v>80</v>
      </c>
      <c r="T45">
        <v>22</v>
      </c>
      <c r="U45">
        <v>28</v>
      </c>
      <c r="V45">
        <v>4</v>
      </c>
      <c r="W45">
        <v>2</v>
      </c>
      <c r="X45">
        <v>2023</v>
      </c>
      <c r="Y45">
        <v>20</v>
      </c>
      <c r="Z45" t="s">
        <v>147</v>
      </c>
      <c r="AA45">
        <v>31</v>
      </c>
      <c r="AB45">
        <v>24</v>
      </c>
      <c r="AC45">
        <v>20</v>
      </c>
    </row>
    <row r="46" spans="1:29">
      <c r="A46">
        <v>27</v>
      </c>
      <c r="B46">
        <v>3</v>
      </c>
      <c r="C46" t="s">
        <v>8</v>
      </c>
      <c r="D46">
        <v>100</v>
      </c>
      <c r="E46">
        <v>80</v>
      </c>
      <c r="F46">
        <v>15</v>
      </c>
      <c r="G46">
        <v>533</v>
      </c>
      <c r="H46">
        <v>22</v>
      </c>
      <c r="I46">
        <v>21</v>
      </c>
      <c r="J46">
        <v>23</v>
      </c>
      <c r="K46">
        <v>23</v>
      </c>
      <c r="L46">
        <v>23</v>
      </c>
      <c r="M46" t="s">
        <v>148</v>
      </c>
      <c r="N46" t="s">
        <v>128</v>
      </c>
      <c r="O46" t="s">
        <v>149</v>
      </c>
      <c r="P46">
        <v>22</v>
      </c>
      <c r="Q46" t="s">
        <v>17</v>
      </c>
      <c r="R46">
        <v>961.74</v>
      </c>
      <c r="S46" t="s">
        <v>80</v>
      </c>
      <c r="T46">
        <v>23</v>
      </c>
      <c r="U46">
        <v>21</v>
      </c>
      <c r="V46">
        <v>2</v>
      </c>
      <c r="W46">
        <v>1</v>
      </c>
      <c r="X46">
        <v>2024</v>
      </c>
      <c r="Y46">
        <v>21</v>
      </c>
      <c r="Z46" t="s">
        <v>150</v>
      </c>
      <c r="AA46">
        <v>62</v>
      </c>
      <c r="AB46">
        <v>1</v>
      </c>
      <c r="AC46">
        <v>20</v>
      </c>
    </row>
    <row r="47" spans="1:29">
      <c r="A47">
        <v>77</v>
      </c>
      <c r="B47">
        <v>3</v>
      </c>
      <c r="C47" t="s">
        <v>8</v>
      </c>
      <c r="D47">
        <v>100</v>
      </c>
      <c r="E47">
        <v>80</v>
      </c>
      <c r="F47">
        <v>15</v>
      </c>
      <c r="G47">
        <v>533</v>
      </c>
      <c r="H47">
        <v>22</v>
      </c>
      <c r="I47">
        <v>21</v>
      </c>
      <c r="J47">
        <v>23</v>
      </c>
      <c r="K47">
        <v>23</v>
      </c>
      <c r="L47">
        <v>23</v>
      </c>
      <c r="M47" t="s">
        <v>148</v>
      </c>
      <c r="N47" t="s">
        <v>128</v>
      </c>
      <c r="O47" t="s">
        <v>149</v>
      </c>
      <c r="P47">
        <v>22</v>
      </c>
      <c r="Q47" t="s">
        <v>17</v>
      </c>
      <c r="R47">
        <v>961.74</v>
      </c>
      <c r="S47" t="s">
        <v>80</v>
      </c>
      <c r="T47">
        <v>23</v>
      </c>
      <c r="U47">
        <v>21</v>
      </c>
      <c r="V47">
        <v>2</v>
      </c>
      <c r="W47">
        <v>1</v>
      </c>
      <c r="X47">
        <v>2024</v>
      </c>
      <c r="Y47">
        <v>21</v>
      </c>
      <c r="Z47" t="s">
        <v>150</v>
      </c>
      <c r="AA47">
        <v>62</v>
      </c>
      <c r="AB47">
        <v>1</v>
      </c>
      <c r="AC47">
        <v>20</v>
      </c>
    </row>
    <row r="48" spans="1:29">
      <c r="A48">
        <v>78</v>
      </c>
      <c r="B48">
        <v>3</v>
      </c>
      <c r="C48" t="s">
        <v>8</v>
      </c>
      <c r="D48">
        <v>100</v>
      </c>
      <c r="E48">
        <v>80</v>
      </c>
      <c r="F48">
        <v>15</v>
      </c>
      <c r="G48">
        <v>534</v>
      </c>
      <c r="H48">
        <v>23</v>
      </c>
      <c r="I48">
        <v>22</v>
      </c>
      <c r="J48">
        <v>24</v>
      </c>
      <c r="K48">
        <v>24</v>
      </c>
      <c r="L48">
        <v>24</v>
      </c>
      <c r="M48" t="s">
        <v>151</v>
      </c>
      <c r="N48" t="s">
        <v>121</v>
      </c>
      <c r="O48" t="s">
        <v>152</v>
      </c>
      <c r="P48">
        <v>23</v>
      </c>
      <c r="Q48" t="s">
        <v>15</v>
      </c>
      <c r="R48">
        <v>544.17999999999995</v>
      </c>
      <c r="S48" t="s">
        <v>80</v>
      </c>
      <c r="T48">
        <v>24</v>
      </c>
      <c r="U48">
        <v>25</v>
      </c>
      <c r="V48">
        <v>5</v>
      </c>
      <c r="W48">
        <v>2</v>
      </c>
      <c r="X48">
        <v>2020</v>
      </c>
      <c r="Y48">
        <v>22</v>
      </c>
      <c r="Z48" t="s">
        <v>153</v>
      </c>
      <c r="AA48">
        <v>34</v>
      </c>
      <c r="AB48">
        <v>40</v>
      </c>
      <c r="AC48">
        <v>20</v>
      </c>
    </row>
    <row r="49" spans="1:29">
      <c r="A49">
        <v>28</v>
      </c>
      <c r="B49">
        <v>3</v>
      </c>
      <c r="C49" t="s">
        <v>8</v>
      </c>
      <c r="D49">
        <v>100</v>
      </c>
      <c r="E49">
        <v>80</v>
      </c>
      <c r="F49">
        <v>15</v>
      </c>
      <c r="G49">
        <v>534</v>
      </c>
      <c r="H49">
        <v>23</v>
      </c>
      <c r="I49">
        <v>22</v>
      </c>
      <c r="J49">
        <v>24</v>
      </c>
      <c r="K49">
        <v>24</v>
      </c>
      <c r="L49">
        <v>24</v>
      </c>
      <c r="M49" t="s">
        <v>151</v>
      </c>
      <c r="N49" t="s">
        <v>121</v>
      </c>
      <c r="O49" t="s">
        <v>152</v>
      </c>
      <c r="P49">
        <v>23</v>
      </c>
      <c r="Q49" t="s">
        <v>15</v>
      </c>
      <c r="R49">
        <v>544.17999999999995</v>
      </c>
      <c r="S49" t="s">
        <v>80</v>
      </c>
      <c r="T49">
        <v>24</v>
      </c>
      <c r="U49">
        <v>25</v>
      </c>
      <c r="V49">
        <v>5</v>
      </c>
      <c r="W49">
        <v>2</v>
      </c>
      <c r="X49">
        <v>2020</v>
      </c>
      <c r="Y49">
        <v>22</v>
      </c>
      <c r="Z49" t="s">
        <v>153</v>
      </c>
      <c r="AA49">
        <v>34</v>
      </c>
      <c r="AB49">
        <v>40</v>
      </c>
      <c r="AC49">
        <v>20</v>
      </c>
    </row>
    <row r="50" spans="1:29">
      <c r="A50">
        <v>29</v>
      </c>
      <c r="B50">
        <v>3</v>
      </c>
      <c r="C50" t="s">
        <v>8</v>
      </c>
      <c r="D50">
        <v>100</v>
      </c>
      <c r="E50">
        <v>80</v>
      </c>
      <c r="F50">
        <v>15</v>
      </c>
      <c r="G50">
        <v>535</v>
      </c>
      <c r="H50">
        <v>24</v>
      </c>
      <c r="I50">
        <v>23</v>
      </c>
      <c r="J50">
        <v>25</v>
      </c>
      <c r="K50">
        <v>25</v>
      </c>
      <c r="L50">
        <v>25</v>
      </c>
      <c r="M50" t="s">
        <v>154</v>
      </c>
      <c r="N50" t="s">
        <v>155</v>
      </c>
      <c r="O50" t="s">
        <v>156</v>
      </c>
      <c r="P50">
        <v>24</v>
      </c>
      <c r="Q50" t="s">
        <v>7</v>
      </c>
      <c r="R50">
        <v>712.07</v>
      </c>
      <c r="S50" t="s">
        <v>80</v>
      </c>
      <c r="T50">
        <v>25</v>
      </c>
      <c r="U50">
        <v>18</v>
      </c>
      <c r="V50">
        <v>10</v>
      </c>
      <c r="W50">
        <v>4</v>
      </c>
      <c r="X50">
        <v>2020</v>
      </c>
      <c r="Y50">
        <v>23</v>
      </c>
      <c r="Z50" t="s">
        <v>157</v>
      </c>
      <c r="AA50">
        <v>20</v>
      </c>
      <c r="AB50">
        <v>15</v>
      </c>
      <c r="AC50">
        <v>20</v>
      </c>
    </row>
    <row r="51" spans="1:29">
      <c r="A51">
        <v>79</v>
      </c>
      <c r="B51">
        <v>3</v>
      </c>
      <c r="C51" t="s">
        <v>8</v>
      </c>
      <c r="D51">
        <v>100</v>
      </c>
      <c r="E51">
        <v>80</v>
      </c>
      <c r="F51">
        <v>15</v>
      </c>
      <c r="G51">
        <v>535</v>
      </c>
      <c r="H51">
        <v>24</v>
      </c>
      <c r="I51">
        <v>23</v>
      </c>
      <c r="J51">
        <v>25</v>
      </c>
      <c r="K51">
        <v>25</v>
      </c>
      <c r="L51">
        <v>25</v>
      </c>
      <c r="M51" t="s">
        <v>154</v>
      </c>
      <c r="N51" t="s">
        <v>155</v>
      </c>
      <c r="O51" t="s">
        <v>156</v>
      </c>
      <c r="P51">
        <v>24</v>
      </c>
      <c r="Q51" t="s">
        <v>7</v>
      </c>
      <c r="R51">
        <v>712.07</v>
      </c>
      <c r="S51" t="s">
        <v>80</v>
      </c>
      <c r="T51">
        <v>25</v>
      </c>
      <c r="U51">
        <v>18</v>
      </c>
      <c r="V51">
        <v>10</v>
      </c>
      <c r="W51">
        <v>4</v>
      </c>
      <c r="X51">
        <v>2020</v>
      </c>
      <c r="Y51">
        <v>23</v>
      </c>
      <c r="Z51" t="s">
        <v>157</v>
      </c>
      <c r="AA51">
        <v>20</v>
      </c>
      <c r="AB51">
        <v>15</v>
      </c>
      <c r="AC51">
        <v>20</v>
      </c>
    </row>
    <row r="52" spans="1:29">
      <c r="A52">
        <v>80</v>
      </c>
      <c r="B52">
        <v>3</v>
      </c>
      <c r="C52" t="s">
        <v>8</v>
      </c>
      <c r="D52">
        <v>100</v>
      </c>
      <c r="E52">
        <v>80</v>
      </c>
      <c r="F52">
        <v>15</v>
      </c>
      <c r="G52">
        <v>536</v>
      </c>
      <c r="H52">
        <v>25</v>
      </c>
      <c r="I52">
        <v>24</v>
      </c>
      <c r="J52">
        <v>26</v>
      </c>
      <c r="K52">
        <v>26</v>
      </c>
      <c r="L52">
        <v>26</v>
      </c>
      <c r="M52" t="s">
        <v>158</v>
      </c>
      <c r="N52" t="s">
        <v>98</v>
      </c>
      <c r="O52" t="s">
        <v>159</v>
      </c>
      <c r="P52">
        <v>25</v>
      </c>
      <c r="Q52" t="s">
        <v>15</v>
      </c>
      <c r="R52">
        <v>844.75</v>
      </c>
      <c r="S52" t="s">
        <v>76</v>
      </c>
      <c r="T52">
        <v>26</v>
      </c>
      <c r="U52">
        <v>16</v>
      </c>
      <c r="V52">
        <v>9</v>
      </c>
      <c r="W52">
        <v>3</v>
      </c>
      <c r="X52">
        <v>2021</v>
      </c>
      <c r="Y52">
        <v>24</v>
      </c>
      <c r="Z52" t="s">
        <v>160</v>
      </c>
      <c r="AA52">
        <v>40</v>
      </c>
      <c r="AB52">
        <v>30</v>
      </c>
      <c r="AC52">
        <v>20</v>
      </c>
    </row>
    <row r="53" spans="1:29">
      <c r="A53">
        <v>30</v>
      </c>
      <c r="B53">
        <v>3</v>
      </c>
      <c r="C53" t="s">
        <v>8</v>
      </c>
      <c r="D53">
        <v>100</v>
      </c>
      <c r="E53">
        <v>80</v>
      </c>
      <c r="F53">
        <v>15</v>
      </c>
      <c r="G53">
        <v>536</v>
      </c>
      <c r="H53">
        <v>25</v>
      </c>
      <c r="I53">
        <v>24</v>
      </c>
      <c r="J53">
        <v>26</v>
      </c>
      <c r="K53">
        <v>26</v>
      </c>
      <c r="L53">
        <v>26</v>
      </c>
      <c r="M53" t="s">
        <v>158</v>
      </c>
      <c r="N53" t="s">
        <v>98</v>
      </c>
      <c r="O53" t="s">
        <v>159</v>
      </c>
      <c r="P53">
        <v>25</v>
      </c>
      <c r="Q53" t="s">
        <v>15</v>
      </c>
      <c r="R53">
        <v>844.75</v>
      </c>
      <c r="S53" t="s">
        <v>76</v>
      </c>
      <c r="T53">
        <v>26</v>
      </c>
      <c r="U53">
        <v>16</v>
      </c>
      <c r="V53">
        <v>9</v>
      </c>
      <c r="W53">
        <v>3</v>
      </c>
      <c r="X53">
        <v>2021</v>
      </c>
      <c r="Y53">
        <v>24</v>
      </c>
      <c r="Z53" t="s">
        <v>160</v>
      </c>
      <c r="AA53">
        <v>40</v>
      </c>
      <c r="AB53">
        <v>30</v>
      </c>
      <c r="AC53">
        <v>20</v>
      </c>
    </row>
    <row r="54" spans="1:29">
      <c r="A54">
        <v>81</v>
      </c>
      <c r="B54">
        <v>3</v>
      </c>
      <c r="C54" t="s">
        <v>8</v>
      </c>
      <c r="D54">
        <v>100</v>
      </c>
      <c r="E54">
        <v>80</v>
      </c>
      <c r="F54">
        <v>15</v>
      </c>
      <c r="G54">
        <v>537</v>
      </c>
      <c r="H54">
        <v>26</v>
      </c>
      <c r="I54">
        <v>25</v>
      </c>
      <c r="J54">
        <v>27</v>
      </c>
      <c r="K54">
        <v>27</v>
      </c>
      <c r="L54">
        <v>27</v>
      </c>
      <c r="M54" t="s">
        <v>161</v>
      </c>
      <c r="N54" t="s">
        <v>85</v>
      </c>
      <c r="O54" t="s">
        <v>162</v>
      </c>
      <c r="P54">
        <v>26</v>
      </c>
      <c r="Q54" t="s">
        <v>7</v>
      </c>
      <c r="R54">
        <v>667.88</v>
      </c>
      <c r="S54" t="s">
        <v>76</v>
      </c>
      <c r="T54">
        <v>27</v>
      </c>
      <c r="U54">
        <v>8</v>
      </c>
      <c r="V54">
        <v>1</v>
      </c>
      <c r="W54">
        <v>1</v>
      </c>
      <c r="X54">
        <v>2020</v>
      </c>
      <c r="Y54">
        <v>25</v>
      </c>
      <c r="Z54" t="s">
        <v>163</v>
      </c>
      <c r="AA54">
        <v>30</v>
      </c>
      <c r="AB54">
        <v>35</v>
      </c>
      <c r="AC54">
        <v>20</v>
      </c>
    </row>
    <row r="55" spans="1:29">
      <c r="A55">
        <v>31</v>
      </c>
      <c r="B55">
        <v>3</v>
      </c>
      <c r="C55" t="s">
        <v>8</v>
      </c>
      <c r="D55">
        <v>100</v>
      </c>
      <c r="E55">
        <v>80</v>
      </c>
      <c r="F55">
        <v>15</v>
      </c>
      <c r="G55">
        <v>537</v>
      </c>
      <c r="H55">
        <v>26</v>
      </c>
      <c r="I55">
        <v>25</v>
      </c>
      <c r="J55">
        <v>27</v>
      </c>
      <c r="K55">
        <v>27</v>
      </c>
      <c r="L55">
        <v>27</v>
      </c>
      <c r="M55" t="s">
        <v>161</v>
      </c>
      <c r="N55" t="s">
        <v>85</v>
      </c>
      <c r="O55" t="s">
        <v>162</v>
      </c>
      <c r="P55">
        <v>26</v>
      </c>
      <c r="Q55" t="s">
        <v>7</v>
      </c>
      <c r="R55">
        <v>667.88</v>
      </c>
      <c r="S55" t="s">
        <v>76</v>
      </c>
      <c r="T55">
        <v>27</v>
      </c>
      <c r="U55">
        <v>8</v>
      </c>
      <c r="V55">
        <v>1</v>
      </c>
      <c r="W55">
        <v>1</v>
      </c>
      <c r="X55">
        <v>2020</v>
      </c>
      <c r="Y55">
        <v>25</v>
      </c>
      <c r="Z55" t="s">
        <v>163</v>
      </c>
      <c r="AA55">
        <v>30</v>
      </c>
      <c r="AB55">
        <v>35</v>
      </c>
      <c r="AC55">
        <v>20</v>
      </c>
    </row>
    <row r="56" spans="1:29">
      <c r="A56">
        <v>32</v>
      </c>
      <c r="B56">
        <v>3</v>
      </c>
      <c r="C56" t="s">
        <v>8</v>
      </c>
      <c r="D56">
        <v>100</v>
      </c>
      <c r="E56">
        <v>80</v>
      </c>
      <c r="F56">
        <v>15</v>
      </c>
      <c r="G56">
        <v>538</v>
      </c>
      <c r="H56">
        <v>27</v>
      </c>
      <c r="I56">
        <v>26</v>
      </c>
      <c r="J56">
        <v>28</v>
      </c>
      <c r="K56">
        <v>28</v>
      </c>
      <c r="L56">
        <v>28</v>
      </c>
      <c r="M56" t="s">
        <v>164</v>
      </c>
      <c r="N56" t="s">
        <v>106</v>
      </c>
      <c r="O56" t="s">
        <v>165</v>
      </c>
      <c r="P56">
        <v>27</v>
      </c>
      <c r="Q56" t="s">
        <v>17</v>
      </c>
      <c r="R56">
        <v>578.27</v>
      </c>
      <c r="S56" t="s">
        <v>76</v>
      </c>
      <c r="T56">
        <v>28</v>
      </c>
      <c r="U56">
        <v>16</v>
      </c>
      <c r="V56">
        <v>9</v>
      </c>
      <c r="W56">
        <v>3</v>
      </c>
      <c r="X56">
        <v>2021</v>
      </c>
      <c r="Y56">
        <v>26</v>
      </c>
      <c r="Z56" t="s">
        <v>166</v>
      </c>
      <c r="AA56">
        <v>30</v>
      </c>
      <c r="AB56">
        <v>6</v>
      </c>
      <c r="AC56">
        <v>20</v>
      </c>
    </row>
    <row r="57" spans="1:29">
      <c r="A57">
        <v>82</v>
      </c>
      <c r="B57">
        <v>3</v>
      </c>
      <c r="C57" t="s">
        <v>8</v>
      </c>
      <c r="D57">
        <v>100</v>
      </c>
      <c r="E57">
        <v>80</v>
      </c>
      <c r="F57">
        <v>15</v>
      </c>
      <c r="G57">
        <v>538</v>
      </c>
      <c r="H57">
        <v>27</v>
      </c>
      <c r="I57">
        <v>26</v>
      </c>
      <c r="J57">
        <v>28</v>
      </c>
      <c r="K57">
        <v>28</v>
      </c>
      <c r="L57">
        <v>28</v>
      </c>
      <c r="M57" t="s">
        <v>164</v>
      </c>
      <c r="N57" t="s">
        <v>106</v>
      </c>
      <c r="O57" t="s">
        <v>165</v>
      </c>
      <c r="P57">
        <v>27</v>
      </c>
      <c r="Q57" t="s">
        <v>17</v>
      </c>
      <c r="R57">
        <v>578.27</v>
      </c>
      <c r="S57" t="s">
        <v>76</v>
      </c>
      <c r="T57">
        <v>28</v>
      </c>
      <c r="U57">
        <v>16</v>
      </c>
      <c r="V57">
        <v>9</v>
      </c>
      <c r="W57">
        <v>3</v>
      </c>
      <c r="X57">
        <v>2021</v>
      </c>
      <c r="Y57">
        <v>26</v>
      </c>
      <c r="Z57" t="s">
        <v>166</v>
      </c>
      <c r="AA57">
        <v>30</v>
      </c>
      <c r="AB57">
        <v>6</v>
      </c>
      <c r="AC57">
        <v>20</v>
      </c>
    </row>
    <row r="58" spans="1:29">
      <c r="A58">
        <v>33</v>
      </c>
      <c r="B58">
        <v>3</v>
      </c>
      <c r="C58" t="s">
        <v>8</v>
      </c>
      <c r="D58">
        <v>100</v>
      </c>
      <c r="E58">
        <v>80</v>
      </c>
      <c r="F58">
        <v>15</v>
      </c>
      <c r="G58">
        <v>539</v>
      </c>
      <c r="H58">
        <v>28</v>
      </c>
      <c r="I58">
        <v>27</v>
      </c>
      <c r="J58">
        <v>29</v>
      </c>
      <c r="K58">
        <v>29</v>
      </c>
      <c r="L58">
        <v>29</v>
      </c>
      <c r="M58" t="s">
        <v>35</v>
      </c>
      <c r="N58" t="s">
        <v>102</v>
      </c>
      <c r="O58" t="s">
        <v>167</v>
      </c>
      <c r="P58">
        <v>28</v>
      </c>
      <c r="Q58" t="s">
        <v>7</v>
      </c>
      <c r="R58">
        <v>727.76</v>
      </c>
      <c r="S58" t="s">
        <v>76</v>
      </c>
      <c r="T58">
        <v>29</v>
      </c>
      <c r="U58">
        <v>3</v>
      </c>
      <c r="V58">
        <v>10</v>
      </c>
      <c r="W58">
        <v>4</v>
      </c>
      <c r="X58">
        <v>2023</v>
      </c>
      <c r="Y58">
        <v>27</v>
      </c>
      <c r="Z58" t="s">
        <v>168</v>
      </c>
      <c r="AA58">
        <v>52</v>
      </c>
      <c r="AB58">
        <v>19</v>
      </c>
      <c r="AC58">
        <v>20</v>
      </c>
    </row>
    <row r="59" spans="1:29">
      <c r="A59">
        <v>83</v>
      </c>
      <c r="B59">
        <v>3</v>
      </c>
      <c r="C59" t="s">
        <v>8</v>
      </c>
      <c r="D59">
        <v>100</v>
      </c>
      <c r="E59">
        <v>80</v>
      </c>
      <c r="F59">
        <v>15</v>
      </c>
      <c r="G59">
        <v>539</v>
      </c>
      <c r="H59">
        <v>28</v>
      </c>
      <c r="I59">
        <v>27</v>
      </c>
      <c r="J59">
        <v>29</v>
      </c>
      <c r="K59">
        <v>29</v>
      </c>
      <c r="L59">
        <v>29</v>
      </c>
      <c r="M59" t="s">
        <v>35</v>
      </c>
      <c r="N59" t="s">
        <v>102</v>
      </c>
      <c r="O59" t="s">
        <v>167</v>
      </c>
      <c r="P59">
        <v>28</v>
      </c>
      <c r="Q59" t="s">
        <v>7</v>
      </c>
      <c r="R59">
        <v>727.76</v>
      </c>
      <c r="S59" t="s">
        <v>76</v>
      </c>
      <c r="T59">
        <v>29</v>
      </c>
      <c r="U59">
        <v>3</v>
      </c>
      <c r="V59">
        <v>10</v>
      </c>
      <c r="W59">
        <v>4</v>
      </c>
      <c r="X59">
        <v>2023</v>
      </c>
      <c r="Y59">
        <v>27</v>
      </c>
      <c r="Z59" t="s">
        <v>168</v>
      </c>
      <c r="AA59">
        <v>52</v>
      </c>
      <c r="AB59">
        <v>19</v>
      </c>
      <c r="AC59">
        <v>20</v>
      </c>
    </row>
    <row r="60" spans="1:29">
      <c r="A60">
        <v>34</v>
      </c>
      <c r="B60">
        <v>3</v>
      </c>
      <c r="C60" t="s">
        <v>8</v>
      </c>
      <c r="D60">
        <v>100</v>
      </c>
      <c r="E60">
        <v>80</v>
      </c>
      <c r="F60">
        <v>15</v>
      </c>
      <c r="G60">
        <v>540</v>
      </c>
      <c r="H60">
        <v>29</v>
      </c>
      <c r="I60">
        <v>28</v>
      </c>
      <c r="J60">
        <v>30</v>
      </c>
      <c r="K60">
        <v>30</v>
      </c>
      <c r="L60">
        <v>30</v>
      </c>
      <c r="M60" t="s">
        <v>169</v>
      </c>
      <c r="N60" t="s">
        <v>170</v>
      </c>
      <c r="O60" t="s">
        <v>171</v>
      </c>
      <c r="P60">
        <v>29</v>
      </c>
      <c r="Q60" t="s">
        <v>10</v>
      </c>
      <c r="R60">
        <v>513.4</v>
      </c>
      <c r="S60" t="s">
        <v>80</v>
      </c>
      <c r="T60">
        <v>30</v>
      </c>
      <c r="U60">
        <v>26</v>
      </c>
      <c r="V60">
        <v>3</v>
      </c>
      <c r="W60">
        <v>1</v>
      </c>
      <c r="X60">
        <v>2021</v>
      </c>
      <c r="Y60">
        <v>28</v>
      </c>
      <c r="Z60" t="s">
        <v>172</v>
      </c>
      <c r="AA60">
        <v>29</v>
      </c>
      <c r="AB60">
        <v>4</v>
      </c>
      <c r="AC60">
        <v>20</v>
      </c>
    </row>
    <row r="61" spans="1:29">
      <c r="A61">
        <v>84</v>
      </c>
      <c r="B61">
        <v>3</v>
      </c>
      <c r="C61" t="s">
        <v>8</v>
      </c>
      <c r="D61">
        <v>100</v>
      </c>
      <c r="E61">
        <v>80</v>
      </c>
      <c r="F61">
        <v>15</v>
      </c>
      <c r="G61">
        <v>540</v>
      </c>
      <c r="H61">
        <v>29</v>
      </c>
      <c r="I61">
        <v>28</v>
      </c>
      <c r="J61">
        <v>30</v>
      </c>
      <c r="K61">
        <v>30</v>
      </c>
      <c r="L61">
        <v>30</v>
      </c>
      <c r="M61" t="s">
        <v>169</v>
      </c>
      <c r="N61" t="s">
        <v>170</v>
      </c>
      <c r="O61" t="s">
        <v>171</v>
      </c>
      <c r="P61">
        <v>29</v>
      </c>
      <c r="Q61" t="s">
        <v>10</v>
      </c>
      <c r="R61">
        <v>513.4</v>
      </c>
      <c r="S61" t="s">
        <v>80</v>
      </c>
      <c r="T61">
        <v>30</v>
      </c>
      <c r="U61">
        <v>26</v>
      </c>
      <c r="V61">
        <v>3</v>
      </c>
      <c r="W61">
        <v>1</v>
      </c>
      <c r="X61">
        <v>2021</v>
      </c>
      <c r="Y61">
        <v>28</v>
      </c>
      <c r="Z61" t="s">
        <v>172</v>
      </c>
      <c r="AA61">
        <v>29</v>
      </c>
      <c r="AB61">
        <v>4</v>
      </c>
      <c r="AC61">
        <v>20</v>
      </c>
    </row>
    <row r="62" spans="1:29">
      <c r="A62">
        <v>85</v>
      </c>
      <c r="B62">
        <v>3</v>
      </c>
      <c r="C62" t="s">
        <v>8</v>
      </c>
      <c r="D62">
        <v>100</v>
      </c>
      <c r="E62">
        <v>80</v>
      </c>
      <c r="F62">
        <v>15</v>
      </c>
      <c r="G62">
        <v>541</v>
      </c>
      <c r="H62">
        <v>30</v>
      </c>
      <c r="I62">
        <v>29</v>
      </c>
      <c r="J62">
        <v>31</v>
      </c>
      <c r="K62">
        <v>31</v>
      </c>
      <c r="L62">
        <v>31</v>
      </c>
      <c r="M62" t="s">
        <v>35</v>
      </c>
      <c r="N62" t="s">
        <v>128</v>
      </c>
      <c r="O62" t="s">
        <v>167</v>
      </c>
      <c r="P62">
        <v>30</v>
      </c>
      <c r="Q62" t="s">
        <v>7</v>
      </c>
      <c r="R62">
        <v>533.25</v>
      </c>
      <c r="S62" t="s">
        <v>80</v>
      </c>
      <c r="T62">
        <v>31</v>
      </c>
      <c r="U62">
        <v>8</v>
      </c>
      <c r="V62">
        <v>4</v>
      </c>
      <c r="W62">
        <v>2</v>
      </c>
      <c r="X62">
        <v>2022</v>
      </c>
      <c r="Y62">
        <v>29</v>
      </c>
      <c r="Z62" t="s">
        <v>173</v>
      </c>
      <c r="AA62">
        <v>41</v>
      </c>
      <c r="AB62">
        <v>2</v>
      </c>
      <c r="AC62">
        <v>20</v>
      </c>
    </row>
    <row r="63" spans="1:29">
      <c r="A63">
        <v>35</v>
      </c>
      <c r="B63">
        <v>3</v>
      </c>
      <c r="C63" t="s">
        <v>8</v>
      </c>
      <c r="D63">
        <v>100</v>
      </c>
      <c r="E63">
        <v>80</v>
      </c>
      <c r="F63">
        <v>15</v>
      </c>
      <c r="G63">
        <v>541</v>
      </c>
      <c r="H63">
        <v>30</v>
      </c>
      <c r="I63">
        <v>29</v>
      </c>
      <c r="J63">
        <v>31</v>
      </c>
      <c r="K63">
        <v>31</v>
      </c>
      <c r="L63">
        <v>31</v>
      </c>
      <c r="M63" t="s">
        <v>35</v>
      </c>
      <c r="N63" t="s">
        <v>128</v>
      </c>
      <c r="O63" t="s">
        <v>167</v>
      </c>
      <c r="P63">
        <v>30</v>
      </c>
      <c r="Q63" t="s">
        <v>7</v>
      </c>
      <c r="R63">
        <v>533.25</v>
      </c>
      <c r="S63" t="s">
        <v>80</v>
      </c>
      <c r="T63">
        <v>31</v>
      </c>
      <c r="U63">
        <v>8</v>
      </c>
      <c r="V63">
        <v>4</v>
      </c>
      <c r="W63">
        <v>2</v>
      </c>
      <c r="X63">
        <v>2022</v>
      </c>
      <c r="Y63">
        <v>29</v>
      </c>
      <c r="Z63" t="s">
        <v>173</v>
      </c>
      <c r="AA63">
        <v>41</v>
      </c>
      <c r="AB63">
        <v>2</v>
      </c>
      <c r="AC63">
        <v>20</v>
      </c>
    </row>
    <row r="64" spans="1:29">
      <c r="A64">
        <v>86</v>
      </c>
      <c r="B64">
        <v>3</v>
      </c>
      <c r="C64" t="s">
        <v>8</v>
      </c>
      <c r="D64">
        <v>100</v>
      </c>
      <c r="E64">
        <v>80</v>
      </c>
      <c r="F64">
        <v>15</v>
      </c>
      <c r="G64">
        <v>542</v>
      </c>
      <c r="H64">
        <v>31</v>
      </c>
      <c r="I64">
        <v>30</v>
      </c>
      <c r="J64">
        <v>32</v>
      </c>
      <c r="K64">
        <v>32</v>
      </c>
      <c r="L64">
        <v>32</v>
      </c>
      <c r="M64" t="s">
        <v>174</v>
      </c>
      <c r="N64" t="s">
        <v>102</v>
      </c>
      <c r="O64" t="s">
        <v>83</v>
      </c>
      <c r="P64">
        <v>31</v>
      </c>
      <c r="Q64" t="s">
        <v>7</v>
      </c>
      <c r="R64">
        <v>549.1</v>
      </c>
      <c r="S64" t="s">
        <v>76</v>
      </c>
      <c r="T64">
        <v>32</v>
      </c>
      <c r="U64">
        <v>23</v>
      </c>
      <c r="V64">
        <v>5</v>
      </c>
      <c r="W64">
        <v>2</v>
      </c>
      <c r="X64">
        <v>2020</v>
      </c>
      <c r="Y64">
        <v>30</v>
      </c>
      <c r="Z64" t="s">
        <v>175</v>
      </c>
      <c r="AA64">
        <v>62</v>
      </c>
      <c r="AB64">
        <v>36</v>
      </c>
      <c r="AC64">
        <v>20</v>
      </c>
    </row>
    <row r="65" spans="1:29">
      <c r="A65">
        <v>36</v>
      </c>
      <c r="B65">
        <v>3</v>
      </c>
      <c r="C65" t="s">
        <v>8</v>
      </c>
      <c r="D65">
        <v>100</v>
      </c>
      <c r="E65">
        <v>80</v>
      </c>
      <c r="F65">
        <v>15</v>
      </c>
      <c r="G65">
        <v>542</v>
      </c>
      <c r="H65">
        <v>31</v>
      </c>
      <c r="I65">
        <v>30</v>
      </c>
      <c r="J65">
        <v>32</v>
      </c>
      <c r="K65">
        <v>32</v>
      </c>
      <c r="L65">
        <v>32</v>
      </c>
      <c r="M65" t="s">
        <v>174</v>
      </c>
      <c r="N65" t="s">
        <v>102</v>
      </c>
      <c r="O65" t="s">
        <v>83</v>
      </c>
      <c r="P65">
        <v>31</v>
      </c>
      <c r="Q65" t="s">
        <v>7</v>
      </c>
      <c r="R65">
        <v>549.1</v>
      </c>
      <c r="S65" t="s">
        <v>76</v>
      </c>
      <c r="T65">
        <v>32</v>
      </c>
      <c r="U65">
        <v>23</v>
      </c>
      <c r="V65">
        <v>5</v>
      </c>
      <c r="W65">
        <v>2</v>
      </c>
      <c r="X65">
        <v>2020</v>
      </c>
      <c r="Y65">
        <v>30</v>
      </c>
      <c r="Z65" t="s">
        <v>175</v>
      </c>
      <c r="AA65">
        <v>62</v>
      </c>
      <c r="AB65">
        <v>36</v>
      </c>
      <c r="AC65">
        <v>20</v>
      </c>
    </row>
    <row r="66" spans="1:29">
      <c r="A66">
        <v>37</v>
      </c>
      <c r="B66">
        <v>3</v>
      </c>
      <c r="C66" t="s">
        <v>8</v>
      </c>
      <c r="D66">
        <v>100</v>
      </c>
      <c r="E66">
        <v>80</v>
      </c>
      <c r="F66">
        <v>15</v>
      </c>
      <c r="G66">
        <v>543</v>
      </c>
      <c r="H66">
        <v>32</v>
      </c>
      <c r="I66">
        <v>31</v>
      </c>
      <c r="J66">
        <v>33</v>
      </c>
      <c r="K66">
        <v>33</v>
      </c>
      <c r="L66">
        <v>33</v>
      </c>
      <c r="M66" t="s">
        <v>176</v>
      </c>
      <c r="N66" t="s">
        <v>85</v>
      </c>
      <c r="O66" t="s">
        <v>177</v>
      </c>
      <c r="P66">
        <v>32</v>
      </c>
      <c r="Q66" t="s">
        <v>10</v>
      </c>
      <c r="R66">
        <v>228.77</v>
      </c>
      <c r="S66" t="s">
        <v>80</v>
      </c>
      <c r="T66">
        <v>33</v>
      </c>
      <c r="U66">
        <v>24</v>
      </c>
      <c r="V66">
        <v>2</v>
      </c>
      <c r="W66">
        <v>1</v>
      </c>
      <c r="X66">
        <v>2024</v>
      </c>
      <c r="Y66">
        <v>31</v>
      </c>
      <c r="Z66" t="s">
        <v>178</v>
      </c>
      <c r="AA66">
        <v>24</v>
      </c>
      <c r="AB66">
        <v>39</v>
      </c>
      <c r="AC66">
        <v>20</v>
      </c>
    </row>
    <row r="67" spans="1:29">
      <c r="A67">
        <v>87</v>
      </c>
      <c r="B67">
        <v>3</v>
      </c>
      <c r="C67" t="s">
        <v>8</v>
      </c>
      <c r="D67">
        <v>100</v>
      </c>
      <c r="E67">
        <v>80</v>
      </c>
      <c r="F67">
        <v>15</v>
      </c>
      <c r="G67">
        <v>543</v>
      </c>
      <c r="H67">
        <v>32</v>
      </c>
      <c r="I67">
        <v>31</v>
      </c>
      <c r="J67">
        <v>33</v>
      </c>
      <c r="K67">
        <v>33</v>
      </c>
      <c r="L67">
        <v>33</v>
      </c>
      <c r="M67" t="s">
        <v>176</v>
      </c>
      <c r="N67" t="s">
        <v>85</v>
      </c>
      <c r="O67" t="s">
        <v>177</v>
      </c>
      <c r="P67">
        <v>32</v>
      </c>
      <c r="Q67" t="s">
        <v>10</v>
      </c>
      <c r="R67">
        <v>228.77</v>
      </c>
      <c r="S67" t="s">
        <v>80</v>
      </c>
      <c r="T67">
        <v>33</v>
      </c>
      <c r="U67">
        <v>24</v>
      </c>
      <c r="V67">
        <v>2</v>
      </c>
      <c r="W67">
        <v>1</v>
      </c>
      <c r="X67">
        <v>2024</v>
      </c>
      <c r="Y67">
        <v>31</v>
      </c>
      <c r="Z67" t="s">
        <v>178</v>
      </c>
      <c r="AA67">
        <v>24</v>
      </c>
      <c r="AB67">
        <v>39</v>
      </c>
      <c r="AC67">
        <v>20</v>
      </c>
    </row>
    <row r="68" spans="1:29">
      <c r="A68">
        <v>88</v>
      </c>
      <c r="B68">
        <v>3</v>
      </c>
      <c r="C68" t="s">
        <v>8</v>
      </c>
      <c r="D68">
        <v>100</v>
      </c>
      <c r="E68">
        <v>80</v>
      </c>
      <c r="F68">
        <v>15</v>
      </c>
      <c r="G68">
        <v>544</v>
      </c>
      <c r="H68">
        <v>33</v>
      </c>
      <c r="I68">
        <v>32</v>
      </c>
      <c r="J68">
        <v>34</v>
      </c>
      <c r="K68">
        <v>34</v>
      </c>
      <c r="L68">
        <v>34</v>
      </c>
      <c r="M68" t="s">
        <v>179</v>
      </c>
      <c r="N68" t="s">
        <v>180</v>
      </c>
      <c r="O68" t="s">
        <v>181</v>
      </c>
      <c r="P68">
        <v>33</v>
      </c>
      <c r="Q68" t="s">
        <v>10</v>
      </c>
      <c r="R68">
        <v>671.24</v>
      </c>
      <c r="S68" t="s">
        <v>76</v>
      </c>
      <c r="T68">
        <v>34</v>
      </c>
      <c r="U68">
        <v>9</v>
      </c>
      <c r="V68">
        <v>6</v>
      </c>
      <c r="W68">
        <v>2</v>
      </c>
      <c r="X68">
        <v>2020</v>
      </c>
      <c r="Y68">
        <v>32</v>
      </c>
      <c r="Z68" t="s">
        <v>182</v>
      </c>
      <c r="AA68">
        <v>18</v>
      </c>
      <c r="AB68">
        <v>19</v>
      </c>
      <c r="AC68">
        <v>20</v>
      </c>
    </row>
    <row r="69" spans="1:29">
      <c r="A69">
        <v>38</v>
      </c>
      <c r="B69">
        <v>3</v>
      </c>
      <c r="C69" t="s">
        <v>8</v>
      </c>
      <c r="D69">
        <v>100</v>
      </c>
      <c r="E69">
        <v>80</v>
      </c>
      <c r="F69">
        <v>15</v>
      </c>
      <c r="G69">
        <v>544</v>
      </c>
      <c r="H69">
        <v>33</v>
      </c>
      <c r="I69">
        <v>32</v>
      </c>
      <c r="J69">
        <v>34</v>
      </c>
      <c r="K69">
        <v>34</v>
      </c>
      <c r="L69">
        <v>34</v>
      </c>
      <c r="M69" t="s">
        <v>179</v>
      </c>
      <c r="N69" t="s">
        <v>180</v>
      </c>
      <c r="O69" t="s">
        <v>181</v>
      </c>
      <c r="P69">
        <v>33</v>
      </c>
      <c r="Q69" t="s">
        <v>10</v>
      </c>
      <c r="R69">
        <v>671.24</v>
      </c>
      <c r="S69" t="s">
        <v>76</v>
      </c>
      <c r="T69">
        <v>34</v>
      </c>
      <c r="U69">
        <v>9</v>
      </c>
      <c r="V69">
        <v>6</v>
      </c>
      <c r="W69">
        <v>2</v>
      </c>
      <c r="X69">
        <v>2020</v>
      </c>
      <c r="Y69">
        <v>32</v>
      </c>
      <c r="Z69" t="s">
        <v>182</v>
      </c>
      <c r="AA69">
        <v>18</v>
      </c>
      <c r="AB69">
        <v>19</v>
      </c>
      <c r="AC69">
        <v>20</v>
      </c>
    </row>
    <row r="70" spans="1:29">
      <c r="A70">
        <v>39</v>
      </c>
      <c r="B70">
        <v>3</v>
      </c>
      <c r="C70" t="s">
        <v>8</v>
      </c>
      <c r="D70">
        <v>100</v>
      </c>
      <c r="E70">
        <v>80</v>
      </c>
      <c r="F70">
        <v>15</v>
      </c>
      <c r="G70">
        <v>545</v>
      </c>
      <c r="H70">
        <v>34</v>
      </c>
      <c r="I70">
        <v>33</v>
      </c>
      <c r="J70">
        <v>35</v>
      </c>
      <c r="K70">
        <v>35</v>
      </c>
      <c r="L70">
        <v>35</v>
      </c>
      <c r="M70" t="s">
        <v>183</v>
      </c>
      <c r="N70" t="s">
        <v>180</v>
      </c>
      <c r="O70" t="s">
        <v>184</v>
      </c>
      <c r="P70">
        <v>34</v>
      </c>
      <c r="Q70" t="s">
        <v>15</v>
      </c>
      <c r="R70">
        <v>807.79</v>
      </c>
      <c r="S70" t="s">
        <v>80</v>
      </c>
      <c r="T70">
        <v>35</v>
      </c>
      <c r="U70">
        <v>28</v>
      </c>
      <c r="V70">
        <v>9</v>
      </c>
      <c r="W70">
        <v>3</v>
      </c>
      <c r="X70">
        <v>2021</v>
      </c>
      <c r="Y70">
        <v>33</v>
      </c>
      <c r="Z70" t="s">
        <v>185</v>
      </c>
      <c r="AA70">
        <v>61</v>
      </c>
      <c r="AB70">
        <v>6</v>
      </c>
      <c r="AC70">
        <v>20</v>
      </c>
    </row>
    <row r="71" spans="1:29">
      <c r="A71">
        <v>89</v>
      </c>
      <c r="B71">
        <v>3</v>
      </c>
      <c r="C71" t="s">
        <v>8</v>
      </c>
      <c r="D71">
        <v>100</v>
      </c>
      <c r="E71">
        <v>80</v>
      </c>
      <c r="F71">
        <v>15</v>
      </c>
      <c r="G71">
        <v>545</v>
      </c>
      <c r="H71">
        <v>34</v>
      </c>
      <c r="I71">
        <v>33</v>
      </c>
      <c r="J71">
        <v>35</v>
      </c>
      <c r="K71">
        <v>35</v>
      </c>
      <c r="L71">
        <v>35</v>
      </c>
      <c r="M71" t="s">
        <v>183</v>
      </c>
      <c r="N71" t="s">
        <v>180</v>
      </c>
      <c r="O71" t="s">
        <v>184</v>
      </c>
      <c r="P71">
        <v>34</v>
      </c>
      <c r="Q71" t="s">
        <v>15</v>
      </c>
      <c r="R71">
        <v>807.79</v>
      </c>
      <c r="S71" t="s">
        <v>80</v>
      </c>
      <c r="T71">
        <v>35</v>
      </c>
      <c r="U71">
        <v>28</v>
      </c>
      <c r="V71">
        <v>9</v>
      </c>
      <c r="W71">
        <v>3</v>
      </c>
      <c r="X71">
        <v>2021</v>
      </c>
      <c r="Y71">
        <v>33</v>
      </c>
      <c r="Z71" t="s">
        <v>185</v>
      </c>
      <c r="AA71">
        <v>61</v>
      </c>
      <c r="AB71">
        <v>6</v>
      </c>
      <c r="AC71">
        <v>20</v>
      </c>
    </row>
    <row r="72" spans="1:29">
      <c r="A72">
        <v>40</v>
      </c>
      <c r="B72">
        <v>3</v>
      </c>
      <c r="C72" t="s">
        <v>8</v>
      </c>
      <c r="D72">
        <v>100</v>
      </c>
      <c r="E72">
        <v>80</v>
      </c>
      <c r="F72">
        <v>15</v>
      </c>
      <c r="G72">
        <v>546</v>
      </c>
      <c r="H72">
        <v>35</v>
      </c>
      <c r="I72">
        <v>34</v>
      </c>
      <c r="J72">
        <v>36</v>
      </c>
      <c r="K72">
        <v>36</v>
      </c>
      <c r="L72">
        <v>36</v>
      </c>
      <c r="M72" t="s">
        <v>186</v>
      </c>
      <c r="N72" t="s">
        <v>180</v>
      </c>
      <c r="O72" t="s">
        <v>187</v>
      </c>
      <c r="P72">
        <v>35</v>
      </c>
      <c r="Q72" t="s">
        <v>15</v>
      </c>
      <c r="R72">
        <v>177.8</v>
      </c>
      <c r="S72" t="s">
        <v>80</v>
      </c>
      <c r="T72">
        <v>36</v>
      </c>
      <c r="U72">
        <v>9</v>
      </c>
      <c r="V72">
        <v>10</v>
      </c>
      <c r="W72">
        <v>4</v>
      </c>
      <c r="X72">
        <v>2024</v>
      </c>
      <c r="Y72">
        <v>34</v>
      </c>
      <c r="Z72" t="s">
        <v>188</v>
      </c>
      <c r="AA72">
        <v>32</v>
      </c>
      <c r="AB72">
        <v>11</v>
      </c>
      <c r="AC72">
        <v>20</v>
      </c>
    </row>
    <row r="73" spans="1:29">
      <c r="A73">
        <v>90</v>
      </c>
      <c r="B73">
        <v>3</v>
      </c>
      <c r="C73" t="s">
        <v>8</v>
      </c>
      <c r="D73">
        <v>100</v>
      </c>
      <c r="E73">
        <v>80</v>
      </c>
      <c r="F73">
        <v>15</v>
      </c>
      <c r="G73">
        <v>546</v>
      </c>
      <c r="H73">
        <v>35</v>
      </c>
      <c r="I73">
        <v>34</v>
      </c>
      <c r="J73">
        <v>36</v>
      </c>
      <c r="K73">
        <v>36</v>
      </c>
      <c r="L73">
        <v>36</v>
      </c>
      <c r="M73" t="s">
        <v>186</v>
      </c>
      <c r="N73" t="s">
        <v>180</v>
      </c>
      <c r="O73" t="s">
        <v>187</v>
      </c>
      <c r="P73">
        <v>35</v>
      </c>
      <c r="Q73" t="s">
        <v>15</v>
      </c>
      <c r="R73">
        <v>177.8</v>
      </c>
      <c r="S73" t="s">
        <v>80</v>
      </c>
      <c r="T73">
        <v>36</v>
      </c>
      <c r="U73">
        <v>9</v>
      </c>
      <c r="V73">
        <v>10</v>
      </c>
      <c r="W73">
        <v>4</v>
      </c>
      <c r="X73">
        <v>2024</v>
      </c>
      <c r="Y73">
        <v>34</v>
      </c>
      <c r="Z73" t="s">
        <v>188</v>
      </c>
      <c r="AA73">
        <v>32</v>
      </c>
      <c r="AB73">
        <v>11</v>
      </c>
      <c r="AC73">
        <v>20</v>
      </c>
    </row>
    <row r="74" spans="1:29">
      <c r="A74">
        <v>41</v>
      </c>
      <c r="B74">
        <v>3</v>
      </c>
      <c r="C74" t="s">
        <v>8</v>
      </c>
      <c r="D74">
        <v>100</v>
      </c>
      <c r="E74">
        <v>80</v>
      </c>
      <c r="F74">
        <v>15</v>
      </c>
      <c r="G74">
        <v>547</v>
      </c>
      <c r="H74">
        <v>36</v>
      </c>
      <c r="I74">
        <v>35</v>
      </c>
      <c r="J74">
        <v>37</v>
      </c>
      <c r="K74">
        <v>37</v>
      </c>
      <c r="L74">
        <v>37</v>
      </c>
      <c r="M74" t="s">
        <v>189</v>
      </c>
      <c r="N74" t="s">
        <v>190</v>
      </c>
      <c r="O74" t="s">
        <v>191</v>
      </c>
      <c r="P74">
        <v>36</v>
      </c>
      <c r="Q74" t="s">
        <v>7</v>
      </c>
      <c r="R74">
        <v>384.29</v>
      </c>
      <c r="S74" t="s">
        <v>76</v>
      </c>
      <c r="T74">
        <v>37</v>
      </c>
      <c r="U74">
        <v>2</v>
      </c>
      <c r="V74">
        <v>8</v>
      </c>
      <c r="W74">
        <v>3</v>
      </c>
      <c r="X74">
        <v>2021</v>
      </c>
      <c r="Y74">
        <v>35</v>
      </c>
      <c r="Z74" t="s">
        <v>192</v>
      </c>
      <c r="AA74">
        <v>64</v>
      </c>
      <c r="AB74">
        <v>18</v>
      </c>
      <c r="AC74">
        <v>20</v>
      </c>
    </row>
    <row r="75" spans="1:29">
      <c r="A75">
        <v>91</v>
      </c>
      <c r="B75">
        <v>3</v>
      </c>
      <c r="C75" t="s">
        <v>8</v>
      </c>
      <c r="D75">
        <v>100</v>
      </c>
      <c r="E75">
        <v>80</v>
      </c>
      <c r="F75">
        <v>15</v>
      </c>
      <c r="G75">
        <v>547</v>
      </c>
      <c r="H75">
        <v>36</v>
      </c>
      <c r="I75">
        <v>35</v>
      </c>
      <c r="J75">
        <v>37</v>
      </c>
      <c r="K75">
        <v>37</v>
      </c>
      <c r="L75">
        <v>37</v>
      </c>
      <c r="M75" t="s">
        <v>189</v>
      </c>
      <c r="N75" t="s">
        <v>190</v>
      </c>
      <c r="O75" t="s">
        <v>191</v>
      </c>
      <c r="P75">
        <v>36</v>
      </c>
      <c r="Q75" t="s">
        <v>7</v>
      </c>
      <c r="R75">
        <v>384.29</v>
      </c>
      <c r="S75" t="s">
        <v>76</v>
      </c>
      <c r="T75">
        <v>37</v>
      </c>
      <c r="U75">
        <v>2</v>
      </c>
      <c r="V75">
        <v>8</v>
      </c>
      <c r="W75">
        <v>3</v>
      </c>
      <c r="X75">
        <v>2021</v>
      </c>
      <c r="Y75">
        <v>35</v>
      </c>
      <c r="Z75" t="s">
        <v>192</v>
      </c>
      <c r="AA75">
        <v>64</v>
      </c>
      <c r="AB75">
        <v>18</v>
      </c>
      <c r="AC75">
        <v>20</v>
      </c>
    </row>
    <row r="76" spans="1:29">
      <c r="A76">
        <v>92</v>
      </c>
      <c r="B76">
        <v>3</v>
      </c>
      <c r="C76" t="s">
        <v>8</v>
      </c>
      <c r="D76">
        <v>100</v>
      </c>
      <c r="E76">
        <v>80</v>
      </c>
      <c r="F76">
        <v>15</v>
      </c>
      <c r="G76">
        <v>548</v>
      </c>
      <c r="H76">
        <v>37</v>
      </c>
      <c r="I76">
        <v>36</v>
      </c>
      <c r="J76">
        <v>38</v>
      </c>
      <c r="K76">
        <v>38</v>
      </c>
      <c r="L76">
        <v>38</v>
      </c>
      <c r="M76" t="s">
        <v>32</v>
      </c>
      <c r="N76" t="s">
        <v>170</v>
      </c>
      <c r="O76" t="s">
        <v>142</v>
      </c>
      <c r="P76">
        <v>37</v>
      </c>
      <c r="Q76" t="s">
        <v>10</v>
      </c>
      <c r="R76">
        <v>807.74</v>
      </c>
      <c r="S76" t="s">
        <v>80</v>
      </c>
      <c r="T76">
        <v>38</v>
      </c>
      <c r="U76">
        <v>2</v>
      </c>
      <c r="V76">
        <v>3</v>
      </c>
      <c r="W76">
        <v>1</v>
      </c>
      <c r="X76">
        <v>2024</v>
      </c>
      <c r="Y76">
        <v>36</v>
      </c>
      <c r="Z76" t="s">
        <v>193</v>
      </c>
      <c r="AA76">
        <v>56</v>
      </c>
      <c r="AB76">
        <v>10</v>
      </c>
      <c r="AC76">
        <v>20</v>
      </c>
    </row>
    <row r="77" spans="1:29">
      <c r="A77">
        <v>42</v>
      </c>
      <c r="B77">
        <v>3</v>
      </c>
      <c r="C77" t="s">
        <v>8</v>
      </c>
      <c r="D77">
        <v>100</v>
      </c>
      <c r="E77">
        <v>80</v>
      </c>
      <c r="F77">
        <v>15</v>
      </c>
      <c r="G77">
        <v>548</v>
      </c>
      <c r="H77">
        <v>37</v>
      </c>
      <c r="I77">
        <v>36</v>
      </c>
      <c r="J77">
        <v>38</v>
      </c>
      <c r="K77">
        <v>38</v>
      </c>
      <c r="L77">
        <v>38</v>
      </c>
      <c r="M77" t="s">
        <v>32</v>
      </c>
      <c r="N77" t="s">
        <v>170</v>
      </c>
      <c r="O77" t="s">
        <v>142</v>
      </c>
      <c r="P77">
        <v>37</v>
      </c>
      <c r="Q77" t="s">
        <v>10</v>
      </c>
      <c r="R77">
        <v>807.74</v>
      </c>
      <c r="S77" t="s">
        <v>80</v>
      </c>
      <c r="T77">
        <v>38</v>
      </c>
      <c r="U77">
        <v>2</v>
      </c>
      <c r="V77">
        <v>3</v>
      </c>
      <c r="W77">
        <v>1</v>
      </c>
      <c r="X77">
        <v>2024</v>
      </c>
      <c r="Y77">
        <v>36</v>
      </c>
      <c r="Z77" t="s">
        <v>193</v>
      </c>
      <c r="AA77">
        <v>56</v>
      </c>
      <c r="AB77">
        <v>10</v>
      </c>
      <c r="AC77">
        <v>20</v>
      </c>
    </row>
    <row r="78" spans="1:29">
      <c r="A78">
        <v>93</v>
      </c>
      <c r="B78">
        <v>3</v>
      </c>
      <c r="C78" t="s">
        <v>8</v>
      </c>
      <c r="D78">
        <v>100</v>
      </c>
      <c r="E78">
        <v>80</v>
      </c>
      <c r="F78">
        <v>15</v>
      </c>
      <c r="G78">
        <v>549</v>
      </c>
      <c r="H78">
        <v>38</v>
      </c>
      <c r="I78">
        <v>37</v>
      </c>
      <c r="J78">
        <v>39</v>
      </c>
      <c r="K78">
        <v>39</v>
      </c>
      <c r="L78">
        <v>39</v>
      </c>
      <c r="M78" t="s">
        <v>194</v>
      </c>
      <c r="N78" t="s">
        <v>85</v>
      </c>
      <c r="O78" t="s">
        <v>187</v>
      </c>
      <c r="P78">
        <v>38</v>
      </c>
      <c r="Q78" t="s">
        <v>15</v>
      </c>
      <c r="R78">
        <v>421.06</v>
      </c>
      <c r="S78" t="s">
        <v>80</v>
      </c>
      <c r="T78">
        <v>39</v>
      </c>
      <c r="U78">
        <v>16</v>
      </c>
      <c r="V78">
        <v>12</v>
      </c>
      <c r="W78">
        <v>4</v>
      </c>
      <c r="X78">
        <v>2020</v>
      </c>
      <c r="Y78">
        <v>37</v>
      </c>
      <c r="Z78" t="s">
        <v>195</v>
      </c>
      <c r="AA78">
        <v>37</v>
      </c>
      <c r="AB78">
        <v>11</v>
      </c>
      <c r="AC78">
        <v>20</v>
      </c>
    </row>
    <row r="79" spans="1:29">
      <c r="A79">
        <v>43</v>
      </c>
      <c r="B79">
        <v>3</v>
      </c>
      <c r="C79" t="s">
        <v>8</v>
      </c>
      <c r="D79">
        <v>100</v>
      </c>
      <c r="E79">
        <v>80</v>
      </c>
      <c r="F79">
        <v>15</v>
      </c>
      <c r="G79">
        <v>549</v>
      </c>
      <c r="H79">
        <v>38</v>
      </c>
      <c r="I79">
        <v>37</v>
      </c>
      <c r="J79">
        <v>39</v>
      </c>
      <c r="K79">
        <v>39</v>
      </c>
      <c r="L79">
        <v>39</v>
      </c>
      <c r="M79" t="s">
        <v>194</v>
      </c>
      <c r="N79" t="s">
        <v>85</v>
      </c>
      <c r="O79" t="s">
        <v>187</v>
      </c>
      <c r="P79">
        <v>38</v>
      </c>
      <c r="Q79" t="s">
        <v>15</v>
      </c>
      <c r="R79">
        <v>421.06</v>
      </c>
      <c r="S79" t="s">
        <v>80</v>
      </c>
      <c r="T79">
        <v>39</v>
      </c>
      <c r="U79">
        <v>16</v>
      </c>
      <c r="V79">
        <v>12</v>
      </c>
      <c r="W79">
        <v>4</v>
      </c>
      <c r="X79">
        <v>2020</v>
      </c>
      <c r="Y79">
        <v>37</v>
      </c>
      <c r="Z79" t="s">
        <v>195</v>
      </c>
      <c r="AA79">
        <v>37</v>
      </c>
      <c r="AB79">
        <v>11</v>
      </c>
      <c r="AC79">
        <v>20</v>
      </c>
    </row>
    <row r="80" spans="1:29">
      <c r="A80">
        <v>94</v>
      </c>
      <c r="B80">
        <v>3</v>
      </c>
      <c r="C80" t="s">
        <v>8</v>
      </c>
      <c r="D80">
        <v>100</v>
      </c>
      <c r="E80">
        <v>80</v>
      </c>
      <c r="F80">
        <v>15</v>
      </c>
      <c r="G80">
        <v>550</v>
      </c>
      <c r="H80">
        <v>39</v>
      </c>
      <c r="I80">
        <v>38</v>
      </c>
      <c r="J80">
        <v>40</v>
      </c>
      <c r="K80">
        <v>40</v>
      </c>
      <c r="L80">
        <v>40</v>
      </c>
      <c r="M80" t="s">
        <v>196</v>
      </c>
      <c r="N80" t="s">
        <v>197</v>
      </c>
      <c r="O80" t="s">
        <v>198</v>
      </c>
      <c r="P80">
        <v>39</v>
      </c>
      <c r="Q80" t="s">
        <v>17</v>
      </c>
      <c r="R80">
        <v>134.97999999999999</v>
      </c>
      <c r="S80" t="s">
        <v>76</v>
      </c>
      <c r="T80">
        <v>40</v>
      </c>
      <c r="U80">
        <v>16</v>
      </c>
      <c r="V80">
        <v>1</v>
      </c>
      <c r="W80">
        <v>1</v>
      </c>
      <c r="X80">
        <v>2023</v>
      </c>
      <c r="Y80">
        <v>38</v>
      </c>
      <c r="Z80" t="s">
        <v>199</v>
      </c>
      <c r="AA80">
        <v>51</v>
      </c>
      <c r="AB80">
        <v>22</v>
      </c>
      <c r="AC80">
        <v>20</v>
      </c>
    </row>
    <row r="81" spans="1:29">
      <c r="A81">
        <v>44</v>
      </c>
      <c r="B81">
        <v>3</v>
      </c>
      <c r="C81" t="s">
        <v>8</v>
      </c>
      <c r="D81">
        <v>100</v>
      </c>
      <c r="E81">
        <v>80</v>
      </c>
      <c r="F81">
        <v>15</v>
      </c>
      <c r="G81">
        <v>550</v>
      </c>
      <c r="H81">
        <v>39</v>
      </c>
      <c r="I81">
        <v>38</v>
      </c>
      <c r="J81">
        <v>40</v>
      </c>
      <c r="K81">
        <v>40</v>
      </c>
      <c r="L81">
        <v>40</v>
      </c>
      <c r="M81" t="s">
        <v>196</v>
      </c>
      <c r="N81" t="s">
        <v>197</v>
      </c>
      <c r="O81" t="s">
        <v>198</v>
      </c>
      <c r="P81">
        <v>39</v>
      </c>
      <c r="Q81" t="s">
        <v>17</v>
      </c>
      <c r="R81">
        <v>134.97999999999999</v>
      </c>
      <c r="S81" t="s">
        <v>76</v>
      </c>
      <c r="T81">
        <v>40</v>
      </c>
      <c r="U81">
        <v>16</v>
      </c>
      <c r="V81">
        <v>1</v>
      </c>
      <c r="W81">
        <v>1</v>
      </c>
      <c r="X81">
        <v>2023</v>
      </c>
      <c r="Y81">
        <v>38</v>
      </c>
      <c r="Z81" t="s">
        <v>199</v>
      </c>
      <c r="AA81">
        <v>51</v>
      </c>
      <c r="AB81">
        <v>22</v>
      </c>
      <c r="AC81">
        <v>20</v>
      </c>
    </row>
    <row r="82" spans="1:29">
      <c r="A82">
        <v>45</v>
      </c>
      <c r="B82">
        <v>3</v>
      </c>
      <c r="C82" t="s">
        <v>8</v>
      </c>
      <c r="D82">
        <v>100</v>
      </c>
      <c r="E82">
        <v>80</v>
      </c>
      <c r="F82">
        <v>15</v>
      </c>
      <c r="G82">
        <v>551</v>
      </c>
      <c r="H82">
        <v>40</v>
      </c>
      <c r="I82">
        <v>39</v>
      </c>
      <c r="J82">
        <v>41</v>
      </c>
      <c r="K82">
        <v>41</v>
      </c>
      <c r="L82">
        <v>41</v>
      </c>
      <c r="M82" t="s">
        <v>200</v>
      </c>
      <c r="N82" t="s">
        <v>102</v>
      </c>
      <c r="O82" t="s">
        <v>201</v>
      </c>
      <c r="P82">
        <v>40</v>
      </c>
      <c r="Q82" t="s">
        <v>10</v>
      </c>
      <c r="R82">
        <v>368.61</v>
      </c>
      <c r="S82" t="s">
        <v>80</v>
      </c>
      <c r="T82">
        <v>41</v>
      </c>
      <c r="U82">
        <v>11</v>
      </c>
      <c r="V82">
        <v>5</v>
      </c>
      <c r="W82">
        <v>2</v>
      </c>
      <c r="X82">
        <v>2022</v>
      </c>
      <c r="Y82">
        <v>39</v>
      </c>
      <c r="Z82" t="s">
        <v>202</v>
      </c>
      <c r="AA82">
        <v>26</v>
      </c>
      <c r="AB82">
        <v>17</v>
      </c>
      <c r="AC82">
        <v>20</v>
      </c>
    </row>
    <row r="83" spans="1:29">
      <c r="A83">
        <v>95</v>
      </c>
      <c r="B83">
        <v>3</v>
      </c>
      <c r="C83" t="s">
        <v>8</v>
      </c>
      <c r="D83">
        <v>100</v>
      </c>
      <c r="E83">
        <v>80</v>
      </c>
      <c r="F83">
        <v>15</v>
      </c>
      <c r="G83">
        <v>551</v>
      </c>
      <c r="H83">
        <v>40</v>
      </c>
      <c r="I83">
        <v>39</v>
      </c>
      <c r="J83">
        <v>41</v>
      </c>
      <c r="K83">
        <v>41</v>
      </c>
      <c r="L83">
        <v>41</v>
      </c>
      <c r="M83" t="s">
        <v>200</v>
      </c>
      <c r="N83" t="s">
        <v>102</v>
      </c>
      <c r="O83" t="s">
        <v>201</v>
      </c>
      <c r="P83">
        <v>40</v>
      </c>
      <c r="Q83" t="s">
        <v>10</v>
      </c>
      <c r="R83">
        <v>368.61</v>
      </c>
      <c r="S83" t="s">
        <v>80</v>
      </c>
      <c r="T83">
        <v>41</v>
      </c>
      <c r="U83">
        <v>11</v>
      </c>
      <c r="V83">
        <v>5</v>
      </c>
      <c r="W83">
        <v>2</v>
      </c>
      <c r="X83">
        <v>2022</v>
      </c>
      <c r="Y83">
        <v>39</v>
      </c>
      <c r="Z83" t="s">
        <v>202</v>
      </c>
      <c r="AA83">
        <v>26</v>
      </c>
      <c r="AB83">
        <v>17</v>
      </c>
      <c r="AC83">
        <v>20</v>
      </c>
    </row>
    <row r="84" spans="1:29">
      <c r="A84">
        <v>46</v>
      </c>
      <c r="B84">
        <v>3</v>
      </c>
      <c r="C84" t="s">
        <v>8</v>
      </c>
      <c r="D84">
        <v>100</v>
      </c>
      <c r="E84">
        <v>80</v>
      </c>
      <c r="F84">
        <v>15</v>
      </c>
      <c r="G84">
        <v>552</v>
      </c>
      <c r="H84">
        <v>41</v>
      </c>
      <c r="I84">
        <v>40</v>
      </c>
      <c r="J84">
        <v>42</v>
      </c>
      <c r="K84">
        <v>42</v>
      </c>
      <c r="L84">
        <v>42</v>
      </c>
      <c r="M84" t="s">
        <v>203</v>
      </c>
      <c r="N84" t="s">
        <v>91</v>
      </c>
      <c r="O84" t="s">
        <v>165</v>
      </c>
      <c r="P84">
        <v>41</v>
      </c>
      <c r="Q84" t="s">
        <v>7</v>
      </c>
      <c r="R84">
        <v>766.19</v>
      </c>
      <c r="S84" t="s">
        <v>80</v>
      </c>
      <c r="T84">
        <v>42</v>
      </c>
      <c r="U84">
        <v>1</v>
      </c>
      <c r="V84">
        <v>1</v>
      </c>
      <c r="W84">
        <v>1</v>
      </c>
      <c r="X84">
        <v>2021</v>
      </c>
      <c r="Y84">
        <v>40</v>
      </c>
      <c r="Z84" t="s">
        <v>204</v>
      </c>
      <c r="AA84">
        <v>64</v>
      </c>
      <c r="AB84">
        <v>2</v>
      </c>
      <c r="AC84">
        <v>20</v>
      </c>
    </row>
    <row r="85" spans="1:29">
      <c r="A85">
        <v>96</v>
      </c>
      <c r="B85">
        <v>3</v>
      </c>
      <c r="C85" t="s">
        <v>8</v>
      </c>
      <c r="D85">
        <v>100</v>
      </c>
      <c r="E85">
        <v>80</v>
      </c>
      <c r="F85">
        <v>15</v>
      </c>
      <c r="G85">
        <v>552</v>
      </c>
      <c r="H85">
        <v>41</v>
      </c>
      <c r="I85">
        <v>40</v>
      </c>
      <c r="J85">
        <v>42</v>
      </c>
      <c r="K85">
        <v>42</v>
      </c>
      <c r="L85">
        <v>42</v>
      </c>
      <c r="M85" t="s">
        <v>203</v>
      </c>
      <c r="N85" t="s">
        <v>91</v>
      </c>
      <c r="O85" t="s">
        <v>165</v>
      </c>
      <c r="P85">
        <v>41</v>
      </c>
      <c r="Q85" t="s">
        <v>7</v>
      </c>
      <c r="R85">
        <v>766.19</v>
      </c>
      <c r="S85" t="s">
        <v>80</v>
      </c>
      <c r="T85">
        <v>42</v>
      </c>
      <c r="U85">
        <v>1</v>
      </c>
      <c r="V85">
        <v>1</v>
      </c>
      <c r="W85">
        <v>1</v>
      </c>
      <c r="X85">
        <v>2021</v>
      </c>
      <c r="Y85">
        <v>40</v>
      </c>
      <c r="Z85" t="s">
        <v>204</v>
      </c>
      <c r="AA85">
        <v>64</v>
      </c>
      <c r="AB85">
        <v>2</v>
      </c>
      <c r="AC85">
        <v>20</v>
      </c>
    </row>
    <row r="86" spans="1:29">
      <c r="A86">
        <v>97</v>
      </c>
      <c r="B86">
        <v>3</v>
      </c>
      <c r="C86" t="s">
        <v>8</v>
      </c>
      <c r="D86">
        <v>100</v>
      </c>
      <c r="E86">
        <v>80</v>
      </c>
      <c r="F86">
        <v>15</v>
      </c>
      <c r="G86">
        <v>553</v>
      </c>
      <c r="H86">
        <v>42</v>
      </c>
      <c r="I86">
        <v>41</v>
      </c>
      <c r="J86">
        <v>43</v>
      </c>
      <c r="K86">
        <v>43</v>
      </c>
      <c r="L86">
        <v>43</v>
      </c>
      <c r="M86" t="s">
        <v>205</v>
      </c>
      <c r="N86" t="s">
        <v>206</v>
      </c>
      <c r="O86" t="s">
        <v>207</v>
      </c>
      <c r="P86">
        <v>42</v>
      </c>
      <c r="Q86" t="s">
        <v>15</v>
      </c>
      <c r="R86">
        <v>664.16</v>
      </c>
      <c r="S86" t="s">
        <v>76</v>
      </c>
      <c r="T86">
        <v>43</v>
      </c>
      <c r="U86">
        <v>3</v>
      </c>
      <c r="V86">
        <v>11</v>
      </c>
      <c r="W86">
        <v>4</v>
      </c>
      <c r="X86">
        <v>2022</v>
      </c>
      <c r="Y86">
        <v>41</v>
      </c>
      <c r="Z86" t="s">
        <v>208</v>
      </c>
      <c r="AA86">
        <v>34</v>
      </c>
      <c r="AB86">
        <v>1</v>
      </c>
      <c r="AC86">
        <v>20</v>
      </c>
    </row>
    <row r="87" spans="1:29">
      <c r="A87">
        <v>47</v>
      </c>
      <c r="B87">
        <v>3</v>
      </c>
      <c r="C87" t="s">
        <v>8</v>
      </c>
      <c r="D87">
        <v>100</v>
      </c>
      <c r="E87">
        <v>80</v>
      </c>
      <c r="F87">
        <v>15</v>
      </c>
      <c r="G87">
        <v>553</v>
      </c>
      <c r="H87">
        <v>42</v>
      </c>
      <c r="I87">
        <v>41</v>
      </c>
      <c r="J87">
        <v>43</v>
      </c>
      <c r="K87">
        <v>43</v>
      </c>
      <c r="L87">
        <v>43</v>
      </c>
      <c r="M87" t="s">
        <v>205</v>
      </c>
      <c r="N87" t="s">
        <v>206</v>
      </c>
      <c r="O87" t="s">
        <v>207</v>
      </c>
      <c r="P87">
        <v>42</v>
      </c>
      <c r="Q87" t="s">
        <v>15</v>
      </c>
      <c r="R87">
        <v>664.16</v>
      </c>
      <c r="S87" t="s">
        <v>76</v>
      </c>
      <c r="T87">
        <v>43</v>
      </c>
      <c r="U87">
        <v>3</v>
      </c>
      <c r="V87">
        <v>11</v>
      </c>
      <c r="W87">
        <v>4</v>
      </c>
      <c r="X87">
        <v>2022</v>
      </c>
      <c r="Y87">
        <v>41</v>
      </c>
      <c r="Z87" t="s">
        <v>208</v>
      </c>
      <c r="AA87">
        <v>34</v>
      </c>
      <c r="AB87">
        <v>1</v>
      </c>
      <c r="AC87">
        <v>20</v>
      </c>
    </row>
    <row r="88" spans="1:29">
      <c r="A88">
        <v>98</v>
      </c>
      <c r="B88">
        <v>3</v>
      </c>
      <c r="C88" t="s">
        <v>8</v>
      </c>
      <c r="D88">
        <v>100</v>
      </c>
      <c r="E88">
        <v>80</v>
      </c>
      <c r="F88">
        <v>15</v>
      </c>
      <c r="G88">
        <v>554</v>
      </c>
      <c r="H88">
        <v>43</v>
      </c>
      <c r="I88">
        <v>42</v>
      </c>
      <c r="J88">
        <v>44</v>
      </c>
      <c r="K88">
        <v>44</v>
      </c>
      <c r="L88">
        <v>44</v>
      </c>
      <c r="M88" t="s">
        <v>209</v>
      </c>
      <c r="N88" t="s">
        <v>210</v>
      </c>
      <c r="O88" t="s">
        <v>211</v>
      </c>
      <c r="P88">
        <v>43</v>
      </c>
      <c r="Q88" t="s">
        <v>7</v>
      </c>
      <c r="R88">
        <v>465.01</v>
      </c>
      <c r="S88" t="s">
        <v>80</v>
      </c>
      <c r="T88">
        <v>44</v>
      </c>
      <c r="U88">
        <v>14</v>
      </c>
      <c r="V88">
        <v>11</v>
      </c>
      <c r="W88">
        <v>4</v>
      </c>
      <c r="X88">
        <v>2024</v>
      </c>
      <c r="Y88">
        <v>42</v>
      </c>
      <c r="Z88" t="s">
        <v>212</v>
      </c>
      <c r="AA88">
        <v>48</v>
      </c>
      <c r="AB88">
        <v>30</v>
      </c>
      <c r="AC88">
        <v>20</v>
      </c>
    </row>
    <row r="89" spans="1:29">
      <c r="A89">
        <v>48</v>
      </c>
      <c r="B89">
        <v>3</v>
      </c>
      <c r="C89" t="s">
        <v>8</v>
      </c>
      <c r="D89">
        <v>100</v>
      </c>
      <c r="E89">
        <v>80</v>
      </c>
      <c r="F89">
        <v>15</v>
      </c>
      <c r="G89">
        <v>554</v>
      </c>
      <c r="H89">
        <v>43</v>
      </c>
      <c r="I89">
        <v>42</v>
      </c>
      <c r="J89">
        <v>44</v>
      </c>
      <c r="K89">
        <v>44</v>
      </c>
      <c r="L89">
        <v>44</v>
      </c>
      <c r="M89" t="s">
        <v>209</v>
      </c>
      <c r="N89" t="s">
        <v>210</v>
      </c>
      <c r="O89" t="s">
        <v>211</v>
      </c>
      <c r="P89">
        <v>43</v>
      </c>
      <c r="Q89" t="s">
        <v>7</v>
      </c>
      <c r="R89">
        <v>465.01</v>
      </c>
      <c r="S89" t="s">
        <v>80</v>
      </c>
      <c r="T89">
        <v>44</v>
      </c>
      <c r="U89">
        <v>14</v>
      </c>
      <c r="V89">
        <v>11</v>
      </c>
      <c r="W89">
        <v>4</v>
      </c>
      <c r="X89">
        <v>2024</v>
      </c>
      <c r="Y89">
        <v>42</v>
      </c>
      <c r="Z89" t="s">
        <v>212</v>
      </c>
      <c r="AA89">
        <v>48</v>
      </c>
      <c r="AB89">
        <v>30</v>
      </c>
      <c r="AC89">
        <v>20</v>
      </c>
    </row>
    <row r="90" spans="1:29">
      <c r="A90">
        <v>99</v>
      </c>
      <c r="B90">
        <v>3</v>
      </c>
      <c r="C90" t="s">
        <v>8</v>
      </c>
      <c r="D90">
        <v>100</v>
      </c>
      <c r="E90">
        <v>80</v>
      </c>
      <c r="F90">
        <v>15</v>
      </c>
      <c r="G90">
        <v>555</v>
      </c>
      <c r="H90">
        <v>44</v>
      </c>
      <c r="I90">
        <v>43</v>
      </c>
      <c r="J90">
        <v>45</v>
      </c>
      <c r="K90">
        <v>45</v>
      </c>
      <c r="L90">
        <v>45</v>
      </c>
      <c r="M90" t="s">
        <v>213</v>
      </c>
      <c r="N90" t="s">
        <v>78</v>
      </c>
      <c r="O90" t="s">
        <v>214</v>
      </c>
      <c r="P90">
        <v>44</v>
      </c>
      <c r="Q90" t="s">
        <v>10</v>
      </c>
      <c r="R90">
        <v>217.62</v>
      </c>
      <c r="S90" t="s">
        <v>76</v>
      </c>
      <c r="T90">
        <v>45</v>
      </c>
      <c r="U90">
        <v>19</v>
      </c>
      <c r="V90">
        <v>10</v>
      </c>
      <c r="W90">
        <v>4</v>
      </c>
      <c r="X90">
        <v>2023</v>
      </c>
      <c r="Y90">
        <v>43</v>
      </c>
      <c r="Z90" t="s">
        <v>215</v>
      </c>
      <c r="AA90">
        <v>50</v>
      </c>
      <c r="AB90">
        <v>21</v>
      </c>
      <c r="AC90">
        <v>20</v>
      </c>
    </row>
    <row r="91" spans="1:29">
      <c r="A91">
        <v>49</v>
      </c>
      <c r="B91">
        <v>3</v>
      </c>
      <c r="C91" t="s">
        <v>8</v>
      </c>
      <c r="D91">
        <v>100</v>
      </c>
      <c r="E91">
        <v>80</v>
      </c>
      <c r="F91">
        <v>15</v>
      </c>
      <c r="G91">
        <v>555</v>
      </c>
      <c r="H91">
        <v>44</v>
      </c>
      <c r="I91">
        <v>43</v>
      </c>
      <c r="J91">
        <v>45</v>
      </c>
      <c r="K91">
        <v>45</v>
      </c>
      <c r="L91">
        <v>45</v>
      </c>
      <c r="M91" t="s">
        <v>213</v>
      </c>
      <c r="N91" t="s">
        <v>78</v>
      </c>
      <c r="O91" t="s">
        <v>214</v>
      </c>
      <c r="P91">
        <v>44</v>
      </c>
      <c r="Q91" t="s">
        <v>10</v>
      </c>
      <c r="R91">
        <v>217.62</v>
      </c>
      <c r="S91" t="s">
        <v>76</v>
      </c>
      <c r="T91">
        <v>45</v>
      </c>
      <c r="U91">
        <v>19</v>
      </c>
      <c r="V91">
        <v>10</v>
      </c>
      <c r="W91">
        <v>4</v>
      </c>
      <c r="X91">
        <v>2023</v>
      </c>
      <c r="Y91">
        <v>43</v>
      </c>
      <c r="Z91" t="s">
        <v>215</v>
      </c>
      <c r="AA91">
        <v>50</v>
      </c>
      <c r="AB91">
        <v>21</v>
      </c>
      <c r="AC91">
        <v>20</v>
      </c>
    </row>
    <row r="92" spans="1:29">
      <c r="A92">
        <v>100</v>
      </c>
      <c r="B92">
        <v>3</v>
      </c>
      <c r="C92" t="s">
        <v>8</v>
      </c>
      <c r="D92">
        <v>100</v>
      </c>
      <c r="E92">
        <v>80</v>
      </c>
      <c r="F92">
        <v>15</v>
      </c>
      <c r="G92">
        <v>556</v>
      </c>
      <c r="H92">
        <v>45</v>
      </c>
      <c r="I92">
        <v>44</v>
      </c>
      <c r="J92">
        <v>46</v>
      </c>
      <c r="K92">
        <v>46</v>
      </c>
      <c r="L92">
        <v>46</v>
      </c>
      <c r="M92" t="s">
        <v>216</v>
      </c>
      <c r="N92" t="s">
        <v>180</v>
      </c>
      <c r="O92" t="s">
        <v>217</v>
      </c>
      <c r="P92">
        <v>45</v>
      </c>
      <c r="Q92" t="s">
        <v>7</v>
      </c>
      <c r="R92">
        <v>459.83</v>
      </c>
      <c r="S92" t="s">
        <v>76</v>
      </c>
      <c r="T92">
        <v>46</v>
      </c>
      <c r="U92">
        <v>24</v>
      </c>
      <c r="V92">
        <v>1</v>
      </c>
      <c r="W92">
        <v>1</v>
      </c>
      <c r="X92">
        <v>2020</v>
      </c>
      <c r="Y92">
        <v>44</v>
      </c>
      <c r="Z92" t="s">
        <v>218</v>
      </c>
      <c r="AA92">
        <v>50</v>
      </c>
      <c r="AB92">
        <v>28</v>
      </c>
      <c r="AC92">
        <v>20</v>
      </c>
    </row>
    <row r="93" spans="1:29">
      <c r="A93">
        <v>50</v>
      </c>
      <c r="B93">
        <v>3</v>
      </c>
      <c r="C93" t="s">
        <v>8</v>
      </c>
      <c r="D93">
        <v>100</v>
      </c>
      <c r="E93">
        <v>80</v>
      </c>
      <c r="F93">
        <v>15</v>
      </c>
      <c r="G93">
        <v>556</v>
      </c>
      <c r="H93">
        <v>45</v>
      </c>
      <c r="I93">
        <v>44</v>
      </c>
      <c r="J93">
        <v>46</v>
      </c>
      <c r="K93">
        <v>46</v>
      </c>
      <c r="L93">
        <v>46</v>
      </c>
      <c r="M93" t="s">
        <v>216</v>
      </c>
      <c r="N93" t="s">
        <v>180</v>
      </c>
      <c r="O93" t="s">
        <v>217</v>
      </c>
      <c r="P93">
        <v>45</v>
      </c>
      <c r="Q93" t="s">
        <v>7</v>
      </c>
      <c r="R93">
        <v>459.83</v>
      </c>
      <c r="S93" t="s">
        <v>76</v>
      </c>
      <c r="T93">
        <v>46</v>
      </c>
      <c r="U93">
        <v>24</v>
      </c>
      <c r="V93">
        <v>1</v>
      </c>
      <c r="W93">
        <v>1</v>
      </c>
      <c r="X93">
        <v>2020</v>
      </c>
      <c r="Y93">
        <v>44</v>
      </c>
      <c r="Z93" t="s">
        <v>218</v>
      </c>
      <c r="AA93">
        <v>50</v>
      </c>
      <c r="AB93">
        <v>28</v>
      </c>
      <c r="AC93">
        <v>20</v>
      </c>
    </row>
    <row r="94" spans="1:29">
      <c r="A94">
        <v>51</v>
      </c>
      <c r="B94">
        <v>3</v>
      </c>
      <c r="C94" t="s">
        <v>8</v>
      </c>
      <c r="D94">
        <v>100</v>
      </c>
      <c r="E94">
        <v>80</v>
      </c>
      <c r="F94">
        <v>15</v>
      </c>
      <c r="G94">
        <v>557</v>
      </c>
      <c r="H94">
        <v>46</v>
      </c>
      <c r="I94">
        <v>45</v>
      </c>
      <c r="J94">
        <v>47</v>
      </c>
      <c r="K94">
        <v>47</v>
      </c>
      <c r="L94">
        <v>47</v>
      </c>
      <c r="M94" t="s">
        <v>219</v>
      </c>
      <c r="N94" t="s">
        <v>125</v>
      </c>
      <c r="O94" t="s">
        <v>201</v>
      </c>
      <c r="P94">
        <v>46</v>
      </c>
      <c r="Q94" t="s">
        <v>17</v>
      </c>
      <c r="R94">
        <v>857.62</v>
      </c>
      <c r="S94" t="s">
        <v>80</v>
      </c>
      <c r="T94">
        <v>47</v>
      </c>
      <c r="U94">
        <v>20</v>
      </c>
      <c r="V94">
        <v>2</v>
      </c>
      <c r="W94">
        <v>1</v>
      </c>
      <c r="X94">
        <v>2020</v>
      </c>
      <c r="Y94">
        <v>45</v>
      </c>
      <c r="Z94" t="s">
        <v>220</v>
      </c>
      <c r="AA94">
        <v>33</v>
      </c>
      <c r="AB94">
        <v>1</v>
      </c>
      <c r="AC94">
        <v>20</v>
      </c>
    </row>
    <row r="95" spans="1:29">
      <c r="A95">
        <v>101</v>
      </c>
      <c r="B95">
        <v>3</v>
      </c>
      <c r="C95" t="s">
        <v>8</v>
      </c>
      <c r="D95">
        <v>100</v>
      </c>
      <c r="E95">
        <v>80</v>
      </c>
      <c r="F95">
        <v>15</v>
      </c>
      <c r="G95">
        <v>557</v>
      </c>
      <c r="H95">
        <v>46</v>
      </c>
      <c r="I95">
        <v>45</v>
      </c>
      <c r="J95">
        <v>47</v>
      </c>
      <c r="K95">
        <v>47</v>
      </c>
      <c r="L95">
        <v>47</v>
      </c>
      <c r="M95" t="s">
        <v>219</v>
      </c>
      <c r="N95" t="s">
        <v>125</v>
      </c>
      <c r="O95" t="s">
        <v>201</v>
      </c>
      <c r="P95">
        <v>46</v>
      </c>
      <c r="Q95" t="s">
        <v>17</v>
      </c>
      <c r="R95">
        <v>857.62</v>
      </c>
      <c r="S95" t="s">
        <v>80</v>
      </c>
      <c r="T95">
        <v>47</v>
      </c>
      <c r="U95">
        <v>20</v>
      </c>
      <c r="V95">
        <v>2</v>
      </c>
      <c r="W95">
        <v>1</v>
      </c>
      <c r="X95">
        <v>2020</v>
      </c>
      <c r="Y95">
        <v>45</v>
      </c>
      <c r="Z95" t="s">
        <v>220</v>
      </c>
      <c r="AA95">
        <v>33</v>
      </c>
      <c r="AB95">
        <v>1</v>
      </c>
      <c r="AC95">
        <v>20</v>
      </c>
    </row>
    <row r="96" spans="1:29">
      <c r="A96">
        <v>102</v>
      </c>
      <c r="B96">
        <v>3</v>
      </c>
      <c r="C96" t="s">
        <v>8</v>
      </c>
      <c r="D96">
        <v>100</v>
      </c>
      <c r="E96">
        <v>80</v>
      </c>
      <c r="F96">
        <v>15</v>
      </c>
      <c r="G96">
        <v>558</v>
      </c>
      <c r="H96">
        <v>47</v>
      </c>
      <c r="I96">
        <v>46</v>
      </c>
      <c r="J96">
        <v>48</v>
      </c>
      <c r="K96">
        <v>48</v>
      </c>
      <c r="L96">
        <v>48</v>
      </c>
      <c r="M96" t="s">
        <v>221</v>
      </c>
      <c r="N96" t="s">
        <v>82</v>
      </c>
      <c r="O96" t="s">
        <v>222</v>
      </c>
      <c r="P96">
        <v>47</v>
      </c>
      <c r="Q96" t="s">
        <v>17</v>
      </c>
      <c r="R96">
        <v>296.39999999999998</v>
      </c>
      <c r="S96" t="s">
        <v>80</v>
      </c>
      <c r="T96">
        <v>48</v>
      </c>
      <c r="U96">
        <v>6</v>
      </c>
      <c r="V96">
        <v>3</v>
      </c>
      <c r="W96">
        <v>1</v>
      </c>
      <c r="X96">
        <v>2022</v>
      </c>
      <c r="Y96">
        <v>46</v>
      </c>
      <c r="Z96" t="s">
        <v>223</v>
      </c>
      <c r="AA96">
        <v>54</v>
      </c>
      <c r="AB96">
        <v>11</v>
      </c>
      <c r="AC96">
        <v>20</v>
      </c>
    </row>
    <row r="97" spans="1:29">
      <c r="A97">
        <v>52</v>
      </c>
      <c r="B97">
        <v>3</v>
      </c>
      <c r="C97" t="s">
        <v>8</v>
      </c>
      <c r="D97">
        <v>100</v>
      </c>
      <c r="E97">
        <v>80</v>
      </c>
      <c r="F97">
        <v>15</v>
      </c>
      <c r="G97">
        <v>558</v>
      </c>
      <c r="H97">
        <v>47</v>
      </c>
      <c r="I97">
        <v>46</v>
      </c>
      <c r="J97">
        <v>48</v>
      </c>
      <c r="K97">
        <v>48</v>
      </c>
      <c r="L97">
        <v>48</v>
      </c>
      <c r="M97" t="s">
        <v>221</v>
      </c>
      <c r="N97" t="s">
        <v>82</v>
      </c>
      <c r="O97" t="s">
        <v>222</v>
      </c>
      <c r="P97">
        <v>47</v>
      </c>
      <c r="Q97" t="s">
        <v>17</v>
      </c>
      <c r="R97">
        <v>296.39999999999998</v>
      </c>
      <c r="S97" t="s">
        <v>80</v>
      </c>
      <c r="T97">
        <v>48</v>
      </c>
      <c r="U97">
        <v>6</v>
      </c>
      <c r="V97">
        <v>3</v>
      </c>
      <c r="W97">
        <v>1</v>
      </c>
      <c r="X97">
        <v>2022</v>
      </c>
      <c r="Y97">
        <v>46</v>
      </c>
      <c r="Z97" t="s">
        <v>223</v>
      </c>
      <c r="AA97">
        <v>54</v>
      </c>
      <c r="AB97">
        <v>11</v>
      </c>
      <c r="AC97">
        <v>20</v>
      </c>
    </row>
    <row r="98" spans="1:29">
      <c r="A98">
        <v>53</v>
      </c>
      <c r="B98">
        <v>3</v>
      </c>
      <c r="C98" t="s">
        <v>8</v>
      </c>
      <c r="D98">
        <v>100</v>
      </c>
      <c r="E98">
        <v>80</v>
      </c>
      <c r="F98">
        <v>15</v>
      </c>
      <c r="G98">
        <v>559</v>
      </c>
      <c r="H98">
        <v>48</v>
      </c>
      <c r="I98">
        <v>47</v>
      </c>
      <c r="J98">
        <v>49</v>
      </c>
      <c r="K98">
        <v>49</v>
      </c>
      <c r="L98">
        <v>49</v>
      </c>
      <c r="M98" t="s">
        <v>29</v>
      </c>
      <c r="N98" t="s">
        <v>224</v>
      </c>
      <c r="O98" t="s">
        <v>225</v>
      </c>
      <c r="P98">
        <v>48</v>
      </c>
      <c r="Q98" t="s">
        <v>7</v>
      </c>
      <c r="R98">
        <v>227.3</v>
      </c>
      <c r="S98" t="s">
        <v>80</v>
      </c>
      <c r="T98">
        <v>49</v>
      </c>
      <c r="U98">
        <v>18</v>
      </c>
      <c r="V98">
        <v>1</v>
      </c>
      <c r="W98">
        <v>1</v>
      </c>
      <c r="X98">
        <v>2024</v>
      </c>
      <c r="Y98">
        <v>47</v>
      </c>
      <c r="Z98" t="s">
        <v>226</v>
      </c>
      <c r="AA98">
        <v>51</v>
      </c>
      <c r="AB98">
        <v>22</v>
      </c>
      <c r="AC98">
        <v>20</v>
      </c>
    </row>
    <row r="99" spans="1:29">
      <c r="A99">
        <v>103</v>
      </c>
      <c r="B99">
        <v>3</v>
      </c>
      <c r="C99" t="s">
        <v>8</v>
      </c>
      <c r="D99">
        <v>100</v>
      </c>
      <c r="E99">
        <v>80</v>
      </c>
      <c r="F99">
        <v>15</v>
      </c>
      <c r="G99">
        <v>559</v>
      </c>
      <c r="H99">
        <v>48</v>
      </c>
      <c r="I99">
        <v>47</v>
      </c>
      <c r="J99">
        <v>49</v>
      </c>
      <c r="K99">
        <v>49</v>
      </c>
      <c r="L99">
        <v>49</v>
      </c>
      <c r="M99" t="s">
        <v>29</v>
      </c>
      <c r="N99" t="s">
        <v>224</v>
      </c>
      <c r="O99" t="s">
        <v>225</v>
      </c>
      <c r="P99">
        <v>48</v>
      </c>
      <c r="Q99" t="s">
        <v>7</v>
      </c>
      <c r="R99">
        <v>227.3</v>
      </c>
      <c r="S99" t="s">
        <v>80</v>
      </c>
      <c r="T99">
        <v>49</v>
      </c>
      <c r="U99">
        <v>18</v>
      </c>
      <c r="V99">
        <v>1</v>
      </c>
      <c r="W99">
        <v>1</v>
      </c>
      <c r="X99">
        <v>2024</v>
      </c>
      <c r="Y99">
        <v>47</v>
      </c>
      <c r="Z99" t="s">
        <v>226</v>
      </c>
      <c r="AA99">
        <v>51</v>
      </c>
      <c r="AB99">
        <v>22</v>
      </c>
      <c r="AC99">
        <v>20</v>
      </c>
    </row>
    <row r="100" spans="1:29">
      <c r="A100">
        <v>54</v>
      </c>
      <c r="B100">
        <v>3</v>
      </c>
      <c r="C100" t="s">
        <v>8</v>
      </c>
      <c r="D100">
        <v>100</v>
      </c>
      <c r="E100">
        <v>80</v>
      </c>
      <c r="F100">
        <v>15</v>
      </c>
      <c r="G100">
        <v>560</v>
      </c>
      <c r="H100">
        <v>49</v>
      </c>
      <c r="I100">
        <v>48</v>
      </c>
      <c r="J100">
        <v>50</v>
      </c>
      <c r="K100">
        <v>50</v>
      </c>
      <c r="L100">
        <v>50</v>
      </c>
      <c r="M100" t="s">
        <v>227</v>
      </c>
      <c r="N100" t="s">
        <v>74</v>
      </c>
      <c r="O100" t="s">
        <v>228</v>
      </c>
      <c r="P100">
        <v>49</v>
      </c>
      <c r="Q100" t="s">
        <v>15</v>
      </c>
      <c r="R100">
        <v>524.79999999999995</v>
      </c>
      <c r="S100" t="s">
        <v>76</v>
      </c>
      <c r="T100">
        <v>50</v>
      </c>
      <c r="U100">
        <v>28</v>
      </c>
      <c r="V100">
        <v>5</v>
      </c>
      <c r="W100">
        <v>2</v>
      </c>
      <c r="X100">
        <v>2021</v>
      </c>
      <c r="Y100">
        <v>48</v>
      </c>
      <c r="Z100" t="s">
        <v>229</v>
      </c>
      <c r="AA100">
        <v>38</v>
      </c>
      <c r="AB100">
        <v>31</v>
      </c>
      <c r="AC100">
        <v>20</v>
      </c>
    </row>
    <row r="101" spans="1:29">
      <c r="A101">
        <v>104</v>
      </c>
      <c r="B101">
        <v>3</v>
      </c>
      <c r="C101" t="s">
        <v>8</v>
      </c>
      <c r="D101">
        <v>100</v>
      </c>
      <c r="E101">
        <v>80</v>
      </c>
      <c r="F101">
        <v>15</v>
      </c>
      <c r="G101">
        <v>560</v>
      </c>
      <c r="H101">
        <v>49</v>
      </c>
      <c r="I101">
        <v>48</v>
      </c>
      <c r="J101">
        <v>50</v>
      </c>
      <c r="K101">
        <v>50</v>
      </c>
      <c r="L101">
        <v>50</v>
      </c>
      <c r="M101" t="s">
        <v>227</v>
      </c>
      <c r="N101" t="s">
        <v>74</v>
      </c>
      <c r="O101" t="s">
        <v>228</v>
      </c>
      <c r="P101">
        <v>49</v>
      </c>
      <c r="Q101" t="s">
        <v>15</v>
      </c>
      <c r="R101">
        <v>524.79999999999995</v>
      </c>
      <c r="S101" t="s">
        <v>76</v>
      </c>
      <c r="T101">
        <v>50</v>
      </c>
      <c r="U101">
        <v>28</v>
      </c>
      <c r="V101">
        <v>5</v>
      </c>
      <c r="W101">
        <v>2</v>
      </c>
      <c r="X101">
        <v>2021</v>
      </c>
      <c r="Y101">
        <v>48</v>
      </c>
      <c r="Z101" t="s">
        <v>229</v>
      </c>
      <c r="AA101">
        <v>38</v>
      </c>
      <c r="AB101">
        <v>31</v>
      </c>
      <c r="AC101">
        <v>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4"/>
  <sheetViews>
    <sheetView workbookViewId="0"/>
  </sheetViews>
  <sheetFormatPr defaultRowHeight="13.8"/>
  <cols>
    <col min="1" max="1" width="33" customWidth="1"/>
    <col min="2" max="2" width="11" customWidth="1"/>
    <col min="3" max="3" width="7.09765625" customWidth="1"/>
  </cols>
  <sheetData>
    <row r="1" spans="1:2" ht="15.6">
      <c r="A1" s="2" t="s">
        <v>230</v>
      </c>
    </row>
    <row r="2" spans="1:2">
      <c r="A2" s="3" t="s">
        <v>4</v>
      </c>
      <c r="B2" s="3" t="s">
        <v>231</v>
      </c>
    </row>
    <row r="3" spans="1:2">
      <c r="A3" t="s">
        <v>8</v>
      </c>
      <c r="B3">
        <v>100</v>
      </c>
    </row>
    <row r="5" spans="1:2" ht="15.6">
      <c r="A5" s="2" t="s">
        <v>232</v>
      </c>
    </row>
    <row r="6" spans="1:2">
      <c r="A6" s="3" t="s">
        <v>2</v>
      </c>
      <c r="B6" s="3" t="s">
        <v>231</v>
      </c>
    </row>
    <row r="7" spans="1:2">
      <c r="A7">
        <v>2020</v>
      </c>
      <c r="B7">
        <v>24</v>
      </c>
    </row>
    <row r="8" spans="1:2">
      <c r="A8">
        <v>2021</v>
      </c>
      <c r="B8">
        <v>26</v>
      </c>
    </row>
    <row r="9" spans="1:2">
      <c r="A9">
        <v>2022</v>
      </c>
      <c r="B9">
        <v>10</v>
      </c>
    </row>
    <row r="10" spans="1:2">
      <c r="A10">
        <v>2023</v>
      </c>
      <c r="B10">
        <v>14</v>
      </c>
    </row>
    <row r="11" spans="1:2">
      <c r="A11">
        <v>2024</v>
      </c>
      <c r="B11">
        <v>26</v>
      </c>
    </row>
    <row r="13" spans="1:2" ht="15.6">
      <c r="A13" s="2" t="s">
        <v>233</v>
      </c>
    </row>
    <row r="14" spans="1:2">
      <c r="A14" s="3" t="s">
        <v>25</v>
      </c>
      <c r="B14" s="3" t="s">
        <v>231</v>
      </c>
    </row>
    <row r="15" spans="1:2">
      <c r="A15" t="s">
        <v>29</v>
      </c>
      <c r="B15">
        <v>4</v>
      </c>
    </row>
    <row r="16" spans="1:2">
      <c r="A16" t="s">
        <v>32</v>
      </c>
      <c r="B16">
        <v>4</v>
      </c>
    </row>
    <row r="17" spans="1:2">
      <c r="A17" t="s">
        <v>35</v>
      </c>
      <c r="B17">
        <v>4</v>
      </c>
    </row>
    <row r="18" spans="1:2">
      <c r="A18" t="s">
        <v>38</v>
      </c>
      <c r="B18">
        <v>2</v>
      </c>
    </row>
    <row r="19" spans="1:2">
      <c r="A19" t="s">
        <v>39</v>
      </c>
      <c r="B19">
        <v>2</v>
      </c>
    </row>
    <row r="20" spans="1:2">
      <c r="A20" t="s">
        <v>40</v>
      </c>
      <c r="B20">
        <v>2</v>
      </c>
    </row>
    <row r="21" spans="1:2">
      <c r="A21" t="s">
        <v>41</v>
      </c>
      <c r="B21">
        <v>2</v>
      </c>
    </row>
    <row r="22" spans="1:2">
      <c r="A22" t="s">
        <v>42</v>
      </c>
      <c r="B22">
        <v>2</v>
      </c>
    </row>
    <row r="23" spans="1:2">
      <c r="A23" t="s">
        <v>43</v>
      </c>
      <c r="B23">
        <v>2</v>
      </c>
    </row>
    <row r="24" spans="1:2">
      <c r="A24" t="s">
        <v>44</v>
      </c>
      <c r="B24">
        <v>2</v>
      </c>
    </row>
    <row r="26" spans="1:2" ht="15.6">
      <c r="A26" s="2" t="s">
        <v>234</v>
      </c>
    </row>
    <row r="27" spans="1:2">
      <c r="A27" s="3" t="s">
        <v>3</v>
      </c>
      <c r="B27" s="3" t="s">
        <v>231</v>
      </c>
    </row>
    <row r="28" spans="1:2">
      <c r="A28" t="s">
        <v>7</v>
      </c>
      <c r="B28">
        <v>28</v>
      </c>
    </row>
    <row r="29" spans="1:2">
      <c r="A29" t="s">
        <v>10</v>
      </c>
      <c r="B29">
        <v>26</v>
      </c>
    </row>
    <row r="30" spans="1:2">
      <c r="A30" t="s">
        <v>15</v>
      </c>
      <c r="B30">
        <v>24</v>
      </c>
    </row>
    <row r="31" spans="1:2">
      <c r="A31" t="s">
        <v>17</v>
      </c>
      <c r="B31">
        <v>22</v>
      </c>
    </row>
    <row r="33" spans="1:2" ht="15.6">
      <c r="A33" s="2" t="s">
        <v>235</v>
      </c>
    </row>
    <row r="34" spans="1:2">
      <c r="A34" s="3" t="s">
        <v>3</v>
      </c>
      <c r="B34" s="3" t="s">
        <v>236</v>
      </c>
    </row>
    <row r="35" spans="1:2">
      <c r="A35" t="s">
        <v>7</v>
      </c>
      <c r="B35">
        <v>2800</v>
      </c>
    </row>
    <row r="36" spans="1:2">
      <c r="A36" t="s">
        <v>10</v>
      </c>
      <c r="B36">
        <v>2600</v>
      </c>
    </row>
    <row r="37" spans="1:2">
      <c r="A37" t="s">
        <v>15</v>
      </c>
      <c r="B37">
        <v>2400</v>
      </c>
    </row>
    <row r="38" spans="1:2">
      <c r="A38" t="s">
        <v>17</v>
      </c>
      <c r="B38">
        <v>2200</v>
      </c>
    </row>
    <row r="40" spans="1:2" ht="15.6">
      <c r="A40" s="2" t="s">
        <v>237</v>
      </c>
    </row>
    <row r="41" spans="1:2">
      <c r="A41" s="3" t="s">
        <v>25</v>
      </c>
      <c r="B41" s="3" t="s">
        <v>19</v>
      </c>
    </row>
    <row r="42" spans="1:2">
      <c r="A42" t="s">
        <v>29</v>
      </c>
      <c r="B42">
        <v>80</v>
      </c>
    </row>
    <row r="43" spans="1:2">
      <c r="A43" t="s">
        <v>32</v>
      </c>
      <c r="B43">
        <v>80</v>
      </c>
    </row>
    <row r="44" spans="1:2">
      <c r="A44" t="s">
        <v>35</v>
      </c>
      <c r="B44">
        <v>80</v>
      </c>
    </row>
    <row r="45" spans="1:2">
      <c r="A45" t="s">
        <v>38</v>
      </c>
      <c r="B45">
        <v>40</v>
      </c>
    </row>
    <row r="46" spans="1:2">
      <c r="A46" t="s">
        <v>39</v>
      </c>
      <c r="B46">
        <v>40</v>
      </c>
    </row>
    <row r="47" spans="1:2">
      <c r="A47" t="s">
        <v>40</v>
      </c>
      <c r="B47">
        <v>40</v>
      </c>
    </row>
    <row r="48" spans="1:2">
      <c r="A48" t="s">
        <v>41</v>
      </c>
      <c r="B48">
        <v>40</v>
      </c>
    </row>
    <row r="49" spans="1:3">
      <c r="A49" t="s">
        <v>42</v>
      </c>
      <c r="B49">
        <v>40</v>
      </c>
    </row>
    <row r="50" spans="1:3">
      <c r="A50" t="s">
        <v>43</v>
      </c>
      <c r="B50">
        <v>40</v>
      </c>
    </row>
    <row r="51" spans="1:3">
      <c r="A51" t="s">
        <v>44</v>
      </c>
      <c r="B51">
        <v>40</v>
      </c>
    </row>
    <row r="53" spans="1:3" ht="15.6">
      <c r="A53" s="2" t="s">
        <v>238</v>
      </c>
    </row>
    <row r="54" spans="1:3">
      <c r="A54" s="3" t="s">
        <v>239</v>
      </c>
      <c r="B54" s="3" t="s">
        <v>20</v>
      </c>
      <c r="C54" s="3" t="s">
        <v>26</v>
      </c>
    </row>
    <row r="55" spans="1:3">
      <c r="A55" t="s">
        <v>77</v>
      </c>
      <c r="B55">
        <v>3</v>
      </c>
      <c r="C55">
        <v>2</v>
      </c>
    </row>
    <row r="56" spans="1:3">
      <c r="A56" t="s">
        <v>81</v>
      </c>
      <c r="B56">
        <v>3</v>
      </c>
      <c r="C56">
        <v>2</v>
      </c>
    </row>
    <row r="57" spans="1:3">
      <c r="A57" t="s">
        <v>84</v>
      </c>
      <c r="B57">
        <v>3</v>
      </c>
      <c r="C57">
        <v>2</v>
      </c>
    </row>
    <row r="58" spans="1:3">
      <c r="A58" t="s">
        <v>87</v>
      </c>
      <c r="B58">
        <v>3</v>
      </c>
      <c r="C58">
        <v>2</v>
      </c>
    </row>
    <row r="59" spans="1:3">
      <c r="A59" t="s">
        <v>90</v>
      </c>
      <c r="B59">
        <v>3</v>
      </c>
      <c r="C59">
        <v>2</v>
      </c>
    </row>
    <row r="60" spans="1:3">
      <c r="A60" t="s">
        <v>93</v>
      </c>
      <c r="B60">
        <v>3</v>
      </c>
      <c r="C60">
        <v>2</v>
      </c>
    </row>
    <row r="61" spans="1:3">
      <c r="A61" t="s">
        <v>96</v>
      </c>
      <c r="B61">
        <v>3</v>
      </c>
      <c r="C61">
        <v>2</v>
      </c>
    </row>
    <row r="62" spans="1:3">
      <c r="A62" t="s">
        <v>100</v>
      </c>
      <c r="B62">
        <v>3</v>
      </c>
      <c r="C62">
        <v>2</v>
      </c>
    </row>
    <row r="63" spans="1:3">
      <c r="A63" t="s">
        <v>104</v>
      </c>
      <c r="B63">
        <v>3</v>
      </c>
      <c r="C63">
        <v>2</v>
      </c>
    </row>
    <row r="64" spans="1:3">
      <c r="A64" t="s">
        <v>108</v>
      </c>
      <c r="B64">
        <v>3</v>
      </c>
      <c r="C6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7"/>
  <sheetViews>
    <sheetView workbookViewId="0"/>
  </sheetViews>
  <sheetFormatPr defaultRowHeight="13.8"/>
  <cols>
    <col min="1" max="1" width="92.5" customWidth="1"/>
    <col min="2" max="2" width="74.59765625" customWidth="1"/>
  </cols>
  <sheetData>
    <row r="1" spans="1:2" ht="17.399999999999999">
      <c r="A1" s="13" t="s">
        <v>240</v>
      </c>
    </row>
    <row r="2" spans="1:2">
      <c r="A2" t="s">
        <v>241</v>
      </c>
    </row>
    <row r="3" spans="1:2">
      <c r="A3" t="s">
        <v>242</v>
      </c>
    </row>
    <row r="4" spans="1:2">
      <c r="A4" t="s">
        <v>243</v>
      </c>
    </row>
    <row r="5" spans="1:2">
      <c r="A5" t="s">
        <v>244</v>
      </c>
    </row>
    <row r="6" spans="1:2">
      <c r="A6" t="s">
        <v>245</v>
      </c>
    </row>
    <row r="9" spans="1:2">
      <c r="A9" s="3" t="s">
        <v>246</v>
      </c>
      <c r="B9" s="3" t="s">
        <v>247</v>
      </c>
    </row>
    <row r="10" spans="1:2">
      <c r="A10" t="s">
        <v>248</v>
      </c>
      <c r="B10" t="s">
        <v>249</v>
      </c>
    </row>
    <row r="11" spans="1:2">
      <c r="A11" t="s">
        <v>250</v>
      </c>
      <c r="B11" t="s">
        <v>251</v>
      </c>
    </row>
    <row r="12" spans="1:2">
      <c r="A12" t="s">
        <v>12</v>
      </c>
      <c r="B12" t="s">
        <v>252</v>
      </c>
    </row>
    <row r="13" spans="1:2">
      <c r="A13" t="s">
        <v>13</v>
      </c>
      <c r="B13" t="s">
        <v>253</v>
      </c>
    </row>
    <row r="14" spans="1:2">
      <c r="A14" t="s">
        <v>19</v>
      </c>
      <c r="B14" t="s">
        <v>254</v>
      </c>
    </row>
    <row r="15" spans="1:2">
      <c r="A15" t="s">
        <v>255</v>
      </c>
      <c r="B15" t="s">
        <v>256</v>
      </c>
    </row>
    <row r="16" spans="1:2">
      <c r="A16" t="s">
        <v>20</v>
      </c>
      <c r="B16" t="s">
        <v>257</v>
      </c>
    </row>
    <row r="17" spans="1:2">
      <c r="A17" t="s">
        <v>21</v>
      </c>
      <c r="B17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Dashboard</vt:lpstr>
      <vt:lpstr>Dados</vt:lpstr>
      <vt:lpstr>Analises</vt:lpstr>
      <vt:lpstr>PowerBI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Tavares</dc:creator>
  <cp:lastModifiedBy>Sandra Tavares</cp:lastModifiedBy>
  <dcterms:created xsi:type="dcterms:W3CDTF">2026-06-17T01:28:09Z</dcterms:created>
  <dcterms:modified xsi:type="dcterms:W3CDTF">2026-06-17T01:28:09Z</dcterms:modified>
</cp:coreProperties>
</file>